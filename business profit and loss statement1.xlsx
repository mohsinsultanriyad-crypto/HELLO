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ThisWorkbook"/>
  <xr:revisionPtr revIDLastSave="0" documentId="13_ncr:1_{6921EB04-B208-4401-9ABE-EC51D8B5DB83}" xr6:coauthVersionLast="47" xr6:coauthVersionMax="47" xr10:uidLastSave="{00000000-0000-0000-0000-000000000000}"/>
  <bookViews>
    <workbookView xWindow="-120" yWindow="-120" windowWidth="38640" windowHeight="21120" xr2:uid="{00000000-000D-0000-FFFF-FFFF00000000}"/>
  </bookViews>
  <sheets>
    <sheet name="Profit and loss statement" sheetId="2" r:id="rId1"/>
    <sheet name="Sheet1" sheetId="3" r:id="rId2"/>
  </sheets>
  <definedNames>
    <definedName name="_xlnm.Print_Area" localSheetId="0">'Profit and loss statement'!$A$1:$O$76</definedName>
    <definedName name="TotalS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2" l="1"/>
  <c r="L51" i="2"/>
  <c r="M52" i="2"/>
  <c r="M51" i="2"/>
  <c r="A4" i="2"/>
  <c r="N52" i="2" l="1"/>
  <c r="G30" i="2"/>
  <c r="M41" i="2" s="1"/>
  <c r="N30" i="2"/>
  <c r="M42" i="2" s="1"/>
  <c r="K3" i="2" l="1"/>
  <c r="M44" i="2"/>
  <c r="N51" i="2"/>
  <c r="L2" i="2"/>
  <c r="M43" i="2" s="1"/>
</calcChain>
</file>

<file path=xl/sharedStrings.xml><?xml version="1.0" encoding="utf-8"?>
<sst xmlns="http://schemas.openxmlformats.org/spreadsheetml/2006/main" count="81" uniqueCount="69">
  <si>
    <t>PROFIT &amp; LOSS STATEMENT</t>
  </si>
  <si>
    <t>Fastep Arbia</t>
  </si>
  <si>
    <t>Date</t>
  </si>
  <si>
    <t>Project</t>
  </si>
  <si>
    <t>Revenue Category</t>
  </si>
  <si>
    <t xml:space="preserve">Description </t>
  </si>
  <si>
    <t xml:space="preserve">Amount </t>
  </si>
  <si>
    <t>Project Revenue</t>
  </si>
  <si>
    <t>Sr No</t>
  </si>
  <si>
    <t>Project Expense</t>
  </si>
  <si>
    <t>Expense Category</t>
  </si>
  <si>
    <t>NET PROFIT / LOSS</t>
  </si>
  <si>
    <t>TOTAL REVENUE</t>
  </si>
  <si>
    <t>TOTAL EXPENSE</t>
  </si>
  <si>
    <t>Projects</t>
  </si>
  <si>
    <t>SISCO</t>
  </si>
  <si>
    <t>NSH</t>
  </si>
  <si>
    <t>Administration</t>
  </si>
  <si>
    <t>Revenue</t>
  </si>
  <si>
    <t>Profit</t>
  </si>
  <si>
    <t>PROJECT-WISE SUMMARY</t>
  </si>
  <si>
    <t>Expense</t>
  </si>
  <si>
    <t xml:space="preserve">Description        </t>
  </si>
  <si>
    <t>Amount</t>
  </si>
  <si>
    <t xml:space="preserve">Total Revenue </t>
  </si>
  <si>
    <t>Total Expense</t>
  </si>
  <si>
    <t xml:space="preserve">Net Profit/Loss </t>
  </si>
  <si>
    <t>Overall P&amp;L Chart (Revenue vs Expense vs Profit)</t>
  </si>
  <si>
    <t>AYTB</t>
  </si>
  <si>
    <t>Profit Margin %</t>
  </si>
  <si>
    <t>STATUS</t>
  </si>
  <si>
    <t>MCCL</t>
  </si>
  <si>
    <t>GSC</t>
  </si>
  <si>
    <t>QABEAH</t>
  </si>
  <si>
    <t>Manpower Salary</t>
  </si>
  <si>
    <t>Suppliar Payment</t>
  </si>
  <si>
    <t>interview Cost</t>
  </si>
  <si>
    <t>Office Salary</t>
  </si>
  <si>
    <t>Office Rent</t>
  </si>
  <si>
    <t>Internet &amp; Mobile</t>
  </si>
  <si>
    <t>Fuel (Office Vehicle)</t>
  </si>
  <si>
    <t>Vehicle Maintenance</t>
  </si>
  <si>
    <t>Consultant / PRO Fee</t>
  </si>
  <si>
    <t>Visa / Iqama Cost</t>
  </si>
  <si>
    <t>Insurance</t>
  </si>
  <si>
    <t>Bank Charges</t>
  </si>
  <si>
    <t>Stationery</t>
  </si>
  <si>
    <t>Zakat / Tax</t>
  </si>
  <si>
    <t>Government Fees</t>
  </si>
  <si>
    <t>Penalty / Fine</t>
  </si>
  <si>
    <t>Legal Charges</t>
  </si>
  <si>
    <t>Audit Fees</t>
  </si>
  <si>
    <t>Advance Given</t>
  </si>
  <si>
    <t>Miscellaneous Expense</t>
  </si>
  <si>
    <t>Previous Month Adjustment</t>
  </si>
  <si>
    <t>Lump Sum Project Income</t>
  </si>
  <si>
    <t>Penalty Recovery</t>
  </si>
  <si>
    <t>Other Income</t>
  </si>
  <si>
    <t>Labour Salary</t>
  </si>
  <si>
    <t>Camp / Food</t>
  </si>
  <si>
    <t>Tools &amp; PPE</t>
  </si>
  <si>
    <t>Medical / Fitness</t>
  </si>
  <si>
    <t>Manpower Billing</t>
  </si>
  <si>
    <t>Project Billing</t>
  </si>
  <si>
    <t>Service Charges</t>
  </si>
  <si>
    <t>Equipment Rental</t>
  </si>
  <si>
    <t>Monthly Contract Revenue</t>
  </si>
  <si>
    <t>LOCAL WORK</t>
  </si>
  <si>
    <t xml:space="preserve">FASTEP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</si>
</sst>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00"/>
    <numFmt numFmtId="166" formatCode="[$SAR]\ #,##0.00"/>
  </numFmts>
  <fonts count="29" x14ac:knownFonts="1">
    <font>
      <sz val="11"/>
      <color theme="1"/>
      <name val="Courier New"/>
      <family val="2"/>
      <scheme val="minor"/>
    </font>
    <font>
      <sz val="9"/>
      <color theme="1"/>
      <name val="Courier New"/>
      <family val="3"/>
      <scheme val="minor"/>
    </font>
    <font>
      <sz val="10"/>
      <color theme="1"/>
      <name val="Courier New"/>
      <family val="3"/>
      <scheme val="minor"/>
    </font>
    <font>
      <sz val="10"/>
      <color theme="0"/>
      <name val="Corbel"/>
      <family val="2"/>
      <scheme val="major"/>
    </font>
    <font>
      <sz val="9"/>
      <color theme="0"/>
      <name val="Corbel"/>
      <family val="2"/>
      <scheme val="major"/>
    </font>
    <font>
      <sz val="10"/>
      <color theme="1"/>
      <name val="Corbel"/>
      <family val="2"/>
      <scheme val="major"/>
    </font>
    <font>
      <b/>
      <sz val="26"/>
      <color theme="0"/>
      <name val="Corbel"/>
      <family val="2"/>
      <scheme val="major"/>
    </font>
    <font>
      <b/>
      <sz val="28"/>
      <color theme="0"/>
      <name val="Corbel"/>
      <family val="2"/>
      <scheme val="major"/>
    </font>
    <font>
      <b/>
      <sz val="26"/>
      <color theme="1"/>
      <name val="Corbel"/>
      <family val="2"/>
      <scheme val="major"/>
    </font>
    <font>
      <sz val="18"/>
      <color theme="0"/>
      <name val="Corbel"/>
      <family val="2"/>
      <scheme val="major"/>
    </font>
    <font>
      <sz val="9"/>
      <color theme="1" tint="0.14999847407452621"/>
      <name val="Corbel"/>
      <family val="2"/>
      <scheme val="major"/>
    </font>
    <font>
      <b/>
      <sz val="12"/>
      <color theme="1"/>
      <name val="Courier New"/>
      <family val="3"/>
      <scheme val="minor"/>
    </font>
    <font>
      <b/>
      <sz val="12"/>
      <color theme="1" tint="0.14999847407452621"/>
      <name val="Corbel"/>
      <family val="2"/>
      <scheme val="major"/>
    </font>
    <font>
      <sz val="22"/>
      <color theme="0"/>
      <name val="Corbel"/>
      <family val="2"/>
      <scheme val="major"/>
    </font>
    <font>
      <sz val="9"/>
      <color theme="1"/>
      <name val="Aptos Narrow"/>
      <family val="2"/>
    </font>
    <font>
      <b/>
      <sz val="16"/>
      <color theme="1"/>
      <name val="Aptos Narrow"/>
      <family val="2"/>
    </font>
    <font>
      <sz val="18"/>
      <color theme="0"/>
      <name val="Aptos Narrow"/>
      <family val="2"/>
    </font>
    <font>
      <b/>
      <sz val="12"/>
      <color theme="1"/>
      <name val="Aptos Narrow"/>
      <family val="2"/>
    </font>
    <font>
      <b/>
      <sz val="12"/>
      <color theme="1" tint="0.14999847407452621"/>
      <name val="Aptos Narrow"/>
      <family val="2"/>
    </font>
    <font>
      <b/>
      <sz val="18"/>
      <color theme="1"/>
      <name val="Aptos Narrow"/>
      <family val="2"/>
    </font>
    <font>
      <b/>
      <sz val="12"/>
      <color theme="0"/>
      <name val="Aptos Narrow"/>
      <family val="2"/>
    </font>
    <font>
      <b/>
      <sz val="14"/>
      <color theme="1"/>
      <name val="Aptos Narrow"/>
      <family val="2"/>
    </font>
    <font>
      <b/>
      <sz val="16"/>
      <color theme="1"/>
      <name val="Courier New"/>
      <family val="3"/>
      <scheme val="minor"/>
    </font>
    <font>
      <sz val="16"/>
      <color theme="1"/>
      <name val="Aptos Narrow"/>
      <family val="2"/>
    </font>
    <font>
      <sz val="14"/>
      <color theme="0"/>
      <name val="Corbel"/>
      <family val="2"/>
      <scheme val="major"/>
    </font>
    <font>
      <b/>
      <sz val="48"/>
      <color theme="0"/>
      <name val="Corbel"/>
      <family val="2"/>
      <scheme val="major"/>
    </font>
    <font>
      <b/>
      <sz val="11"/>
      <color theme="1"/>
      <name val="Courier New"/>
      <family val="3"/>
      <scheme val="minor"/>
    </font>
    <font>
      <b/>
      <sz val="14"/>
      <color theme="1" tint="0.14999847407452621"/>
      <name val="Aptos Narrow"/>
      <family val="2"/>
    </font>
    <font>
      <sz val="14"/>
      <color theme="1"/>
      <name val="Aptos Narrow"/>
      <family val="2"/>
    </font>
  </fonts>
  <fills count="5">
    <fill>
      <patternFill patternType="none"/>
    </fill>
    <fill>
      <patternFill patternType="gray125"/>
    </fill>
    <fill>
      <patternFill patternType="solid">
        <fgColor theme="3" tint="-0.249977111117893"/>
        <bgColor indexed="64"/>
      </patternFill>
    </fill>
    <fill>
      <patternFill patternType="solid">
        <fgColor theme="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89">
    <xf numFmtId="0" fontId="0" fillId="0" borderId="0" xfId="0"/>
    <xf numFmtId="0" fontId="2" fillId="3" borderId="0" xfId="0" applyFont="1" applyFill="1" applyAlignment="1">
      <alignment vertical="center"/>
    </xf>
    <xf numFmtId="0" fontId="2" fillId="0" borderId="0" xfId="0" applyFont="1" applyAlignment="1">
      <alignment vertical="center"/>
    </xf>
    <xf numFmtId="165" fontId="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left" vertical="center" indent="1"/>
    </xf>
    <xf numFmtId="165" fontId="4" fillId="2" borderId="0" xfId="0" applyNumberFormat="1" applyFont="1" applyFill="1" applyAlignment="1">
      <alignment horizontal="center" vertical="center"/>
    </xf>
    <xf numFmtId="164" fontId="4" fillId="2" borderId="0" xfId="0" applyNumberFormat="1" applyFont="1" applyFill="1" applyAlignment="1">
      <alignment horizontal="center" vertical="center"/>
    </xf>
    <xf numFmtId="0" fontId="5" fillId="3" borderId="0" xfId="0" applyFont="1" applyFill="1" applyAlignment="1">
      <alignment vertical="center"/>
    </xf>
    <xf numFmtId="0" fontId="5" fillId="0" borderId="0" xfId="0" applyFont="1" applyAlignment="1">
      <alignment vertical="center"/>
    </xf>
    <xf numFmtId="0" fontId="7" fillId="2" borderId="0" xfId="0" applyFont="1" applyFill="1"/>
    <xf numFmtId="164" fontId="8" fillId="3" borderId="0" xfId="0" applyNumberFormat="1" applyFont="1" applyFill="1" applyAlignment="1">
      <alignment horizontal="center" vertical="center"/>
    </xf>
    <xf numFmtId="0" fontId="8" fillId="0" borderId="0" xfId="0" applyFont="1" applyAlignment="1">
      <alignment vertical="center"/>
    </xf>
    <xf numFmtId="0" fontId="9" fillId="2" borderId="0" xfId="0" applyFont="1" applyFill="1" applyAlignment="1">
      <alignment vertical="top"/>
    </xf>
    <xf numFmtId="164" fontId="9" fillId="2" borderId="0" xfId="0" applyNumberFormat="1" applyFont="1" applyFill="1" applyAlignment="1">
      <alignment vertical="top"/>
    </xf>
    <xf numFmtId="164" fontId="9" fillId="3" borderId="0" xfId="0" applyNumberFormat="1" applyFont="1" applyFill="1" applyAlignment="1">
      <alignment vertical="top"/>
    </xf>
    <xf numFmtId="0" fontId="10" fillId="3" borderId="0" xfId="0" applyFont="1" applyFill="1" applyAlignment="1">
      <alignment horizontal="left" vertical="center"/>
    </xf>
    <xf numFmtId="164" fontId="14" fillId="3" borderId="0" xfId="0" applyNumberFormat="1" applyFont="1" applyFill="1" applyAlignment="1">
      <alignment horizontal="center" vertical="center"/>
    </xf>
    <xf numFmtId="164" fontId="16" fillId="3" borderId="0" xfId="0" applyNumberFormat="1" applyFont="1" applyFill="1" applyAlignment="1">
      <alignment vertical="top"/>
    </xf>
    <xf numFmtId="0" fontId="18" fillId="3" borderId="1" xfId="0" applyFont="1" applyFill="1" applyBorder="1" applyAlignment="1">
      <alignment horizontal="center" vertical="center"/>
    </xf>
    <xf numFmtId="165" fontId="17" fillId="3" borderId="1" xfId="0" applyNumberFormat="1" applyFont="1" applyFill="1" applyBorder="1" applyAlignment="1">
      <alignment horizontal="center" vertical="center"/>
    </xf>
    <xf numFmtId="166" fontId="17" fillId="3" borderId="4" xfId="0" applyNumberFormat="1" applyFont="1" applyFill="1" applyBorder="1" applyAlignment="1">
      <alignment horizontal="center" vertical="center"/>
    </xf>
    <xf numFmtId="16" fontId="17" fillId="3" borderId="1" xfId="0" applyNumberFormat="1" applyFont="1" applyFill="1" applyBorder="1" applyAlignment="1">
      <alignment horizontal="left" vertical="center"/>
    </xf>
    <xf numFmtId="0" fontId="17" fillId="3" borderId="1" xfId="0" applyFont="1" applyFill="1" applyBorder="1" applyAlignment="1">
      <alignment vertical="center"/>
    </xf>
    <xf numFmtId="0" fontId="17" fillId="3" borderId="4" xfId="0" applyFont="1" applyFill="1" applyBorder="1" applyAlignment="1">
      <alignment vertical="center"/>
    </xf>
    <xf numFmtId="0" fontId="17" fillId="3" borderId="9" xfId="0" applyFont="1" applyFill="1" applyBorder="1" applyAlignment="1">
      <alignment vertical="center"/>
    </xf>
    <xf numFmtId="0" fontId="17" fillId="3" borderId="10" xfId="0" applyFont="1" applyFill="1" applyBorder="1" applyAlignment="1">
      <alignment vertical="center"/>
    </xf>
    <xf numFmtId="165" fontId="17" fillId="3" borderId="1" xfId="0" applyNumberFormat="1" applyFont="1" applyFill="1" applyBorder="1" applyAlignment="1">
      <alignment vertical="center"/>
    </xf>
    <xf numFmtId="165" fontId="17" fillId="3" borderId="9" xfId="0" applyNumberFormat="1" applyFont="1" applyFill="1" applyBorder="1" applyAlignment="1">
      <alignment vertical="center"/>
    </xf>
    <xf numFmtId="164" fontId="17" fillId="3" borderId="0" xfId="0" applyNumberFormat="1" applyFont="1" applyFill="1" applyAlignment="1">
      <alignment horizontal="center" vertical="center"/>
    </xf>
    <xf numFmtId="164" fontId="20" fillId="3" borderId="0" xfId="0" applyNumberFormat="1" applyFont="1" applyFill="1" applyAlignment="1">
      <alignment vertical="top"/>
    </xf>
    <xf numFmtId="166" fontId="17" fillId="3" borderId="1" xfId="0" applyNumberFormat="1" applyFont="1" applyFill="1" applyBorder="1" applyAlignment="1">
      <alignment vertical="center"/>
    </xf>
    <xf numFmtId="0" fontId="18" fillId="3" borderId="0" xfId="0" applyFont="1" applyFill="1" applyAlignment="1">
      <alignment vertical="center"/>
    </xf>
    <xf numFmtId="166" fontId="17" fillId="3" borderId="1" xfId="0" applyNumberFormat="1" applyFont="1" applyFill="1" applyBorder="1" applyAlignment="1">
      <alignment horizontal="center" vertical="center"/>
    </xf>
    <xf numFmtId="0" fontId="17" fillId="3" borderId="0" xfId="0" applyFont="1" applyFill="1" applyAlignment="1">
      <alignment vertical="center"/>
    </xf>
    <xf numFmtId="0" fontId="18" fillId="3" borderId="0" xfId="0" applyFont="1" applyFill="1" applyAlignment="1">
      <alignment horizontal="left" vertical="center"/>
    </xf>
    <xf numFmtId="165" fontId="17" fillId="3" borderId="0" xfId="0" applyNumberFormat="1" applyFont="1" applyFill="1" applyAlignment="1">
      <alignment horizontal="center" vertical="center"/>
    </xf>
    <xf numFmtId="0" fontId="11" fillId="3" borderId="0" xfId="0" applyFont="1" applyFill="1" applyAlignment="1">
      <alignment vertical="center"/>
    </xf>
    <xf numFmtId="0" fontId="12" fillId="3" borderId="0" xfId="0" applyFont="1" applyFill="1" applyAlignment="1">
      <alignment horizontal="left" vertical="center"/>
    </xf>
    <xf numFmtId="165" fontId="11" fillId="3" borderId="0" xfId="0" applyNumberFormat="1" applyFont="1" applyFill="1" applyAlignment="1">
      <alignment horizontal="center" vertical="center"/>
    </xf>
    <xf numFmtId="164" fontId="11" fillId="3" borderId="0" xfId="0" applyNumberFormat="1" applyFont="1" applyFill="1" applyAlignment="1">
      <alignment horizontal="center" vertical="center"/>
    </xf>
    <xf numFmtId="0" fontId="15" fillId="3" borderId="1" xfId="0" applyFont="1" applyFill="1" applyBorder="1" applyAlignment="1">
      <alignment horizontal="center" vertical="center"/>
    </xf>
    <xf numFmtId="165" fontId="15" fillId="3" borderId="1" xfId="0" applyNumberFormat="1" applyFont="1" applyFill="1" applyBorder="1" applyAlignment="1">
      <alignment horizontal="center" vertical="center"/>
    </xf>
    <xf numFmtId="164" fontId="22" fillId="3" borderId="0" xfId="0" applyNumberFormat="1" applyFont="1" applyFill="1" applyAlignment="1">
      <alignment horizontal="center" vertical="center"/>
    </xf>
    <xf numFmtId="0" fontId="23" fillId="3" borderId="1" xfId="0" applyFont="1" applyFill="1" applyBorder="1" applyAlignment="1">
      <alignment horizontal="center" vertical="center"/>
    </xf>
    <xf numFmtId="166" fontId="23" fillId="3" borderId="1" xfId="0" applyNumberFormat="1" applyFont="1" applyFill="1" applyBorder="1" applyAlignment="1">
      <alignment horizontal="center" vertical="center"/>
    </xf>
    <xf numFmtId="0" fontId="17" fillId="3" borderId="0" xfId="0" applyFont="1" applyFill="1" applyAlignment="1">
      <alignment horizontal="left" vertical="center"/>
    </xf>
    <xf numFmtId="0" fontId="15" fillId="3" borderId="0" xfId="0" applyFont="1" applyFill="1" applyAlignment="1">
      <alignment horizontal="left" vertical="center"/>
    </xf>
    <xf numFmtId="165" fontId="17" fillId="3" borderId="1" xfId="0" applyNumberFormat="1" applyFont="1" applyFill="1" applyBorder="1" applyAlignment="1">
      <alignment horizontal="left" vertical="center" wrapText="1"/>
    </xf>
    <xf numFmtId="0" fontId="17" fillId="3" borderId="1" xfId="0" applyFont="1" applyFill="1" applyBorder="1" applyAlignment="1">
      <alignment horizontal="center" vertical="center"/>
    </xf>
    <xf numFmtId="0" fontId="26" fillId="4" borderId="1" xfId="0" applyFont="1" applyFill="1" applyBorder="1"/>
    <xf numFmtId="0" fontId="17" fillId="3" borderId="3" xfId="0" applyFont="1" applyFill="1" applyBorder="1" applyAlignment="1">
      <alignment horizontal="center" vertical="center"/>
    </xf>
    <xf numFmtId="0" fontId="17" fillId="3" borderId="8" xfId="0" applyFont="1" applyFill="1" applyBorder="1" applyAlignment="1">
      <alignment horizontal="center" vertical="center"/>
    </xf>
    <xf numFmtId="16" fontId="17" fillId="3" borderId="1" xfId="0" applyNumberFormat="1" applyFont="1" applyFill="1" applyBorder="1" applyAlignment="1">
      <alignment horizontal="center" vertical="center"/>
    </xf>
    <xf numFmtId="0" fontId="17" fillId="3" borderId="9" xfId="0" applyFont="1" applyFill="1" applyBorder="1" applyAlignment="1">
      <alignment horizontal="center" vertical="center"/>
    </xf>
    <xf numFmtId="0" fontId="21" fillId="3" borderId="5" xfId="0" applyFont="1" applyFill="1" applyBorder="1" applyAlignment="1">
      <alignment horizontal="center" vertical="center"/>
    </xf>
    <xf numFmtId="0" fontId="21" fillId="3" borderId="6" xfId="0" applyFont="1" applyFill="1" applyBorder="1" applyAlignment="1">
      <alignment horizontal="center" vertical="center"/>
    </xf>
    <xf numFmtId="0" fontId="27" fillId="3" borderId="6" xfId="0" applyFont="1" applyFill="1" applyBorder="1" applyAlignment="1">
      <alignment horizontal="center" vertical="center"/>
    </xf>
    <xf numFmtId="165" fontId="21" fillId="3" borderId="6" xfId="0" applyNumberFormat="1" applyFont="1" applyFill="1" applyBorder="1" applyAlignment="1">
      <alignment horizontal="center" vertical="center"/>
    </xf>
    <xf numFmtId="165" fontId="21" fillId="3" borderId="7" xfId="0" applyNumberFormat="1" applyFont="1" applyFill="1" applyBorder="1" applyAlignment="1">
      <alignment horizontal="center" vertical="center"/>
    </xf>
    <xf numFmtId="164" fontId="28" fillId="3" borderId="0" xfId="0" applyNumberFormat="1" applyFont="1" applyFill="1" applyAlignment="1">
      <alignment horizontal="center" vertical="center"/>
    </xf>
    <xf numFmtId="0" fontId="17" fillId="3" borderId="0" xfId="0" applyFont="1" applyFill="1" applyAlignment="1">
      <alignment horizontal="left" vertical="center"/>
    </xf>
    <xf numFmtId="0" fontId="15" fillId="3" borderId="1" xfId="0" applyFont="1" applyFill="1" applyBorder="1" applyAlignment="1">
      <alignment horizontal="left" vertical="center"/>
    </xf>
    <xf numFmtId="164" fontId="6" fillId="2" borderId="0" xfId="0" applyNumberFormat="1" applyFont="1" applyFill="1" applyAlignment="1">
      <alignment horizontal="center" vertical="center"/>
    </xf>
    <xf numFmtId="0" fontId="19" fillId="3" borderId="0" xfId="0" applyFont="1" applyFill="1" applyAlignment="1">
      <alignment horizontal="center" vertical="center"/>
    </xf>
    <xf numFmtId="0" fontId="19" fillId="3" borderId="2" xfId="0" applyFont="1" applyFill="1" applyBorder="1" applyAlignment="1">
      <alignment horizontal="center" vertical="center"/>
    </xf>
    <xf numFmtId="0" fontId="15" fillId="3" borderId="0" xfId="0" applyFont="1" applyFill="1" applyAlignment="1">
      <alignment horizontal="center" vertical="center"/>
    </xf>
    <xf numFmtId="0" fontId="17" fillId="3" borderId="1" xfId="0" applyFont="1" applyFill="1" applyBorder="1" applyAlignment="1">
      <alignment horizontal="center" vertical="center"/>
    </xf>
    <xf numFmtId="164" fontId="17" fillId="3" borderId="1" xfId="0" applyNumberFormat="1" applyFont="1" applyFill="1" applyBorder="1" applyAlignment="1">
      <alignment horizontal="center" vertical="center"/>
    </xf>
    <xf numFmtId="165" fontId="25" fillId="2" borderId="0" xfId="0" applyNumberFormat="1" applyFont="1" applyFill="1" applyAlignment="1">
      <alignment horizontal="center" vertical="center"/>
    </xf>
    <xf numFmtId="165" fontId="13" fillId="2" borderId="0" xfId="0" applyNumberFormat="1" applyFont="1" applyFill="1" applyAlignment="1">
      <alignment horizontal="center" vertical="center"/>
    </xf>
    <xf numFmtId="166" fontId="6" fillId="2" borderId="0" xfId="0" applyNumberFormat="1" applyFont="1" applyFill="1" applyAlignment="1">
      <alignment horizontal="center" vertical="center"/>
    </xf>
    <xf numFmtId="164" fontId="17" fillId="3" borderId="1" xfId="0" applyNumberFormat="1" applyFont="1" applyFill="1" applyBorder="1" applyAlignment="1">
      <alignment horizontal="right" vertical="center"/>
    </xf>
    <xf numFmtId="165" fontId="15" fillId="3" borderId="4" xfId="0" applyNumberFormat="1" applyFont="1" applyFill="1" applyBorder="1" applyAlignment="1">
      <alignment horizontal="center" vertical="center"/>
    </xf>
    <xf numFmtId="165" fontId="15" fillId="3" borderId="11" xfId="0" applyNumberFormat="1" applyFont="1" applyFill="1" applyBorder="1" applyAlignment="1">
      <alignment horizontal="center" vertical="center"/>
    </xf>
    <xf numFmtId="165" fontId="15" fillId="3" borderId="3" xfId="0" applyNumberFormat="1" applyFont="1" applyFill="1" applyBorder="1" applyAlignment="1">
      <alignment horizontal="center" vertical="center"/>
    </xf>
    <xf numFmtId="164" fontId="24" fillId="2" borderId="0" xfId="0" applyNumberFormat="1" applyFont="1" applyFill="1" applyAlignment="1">
      <alignment horizontal="center" vertical="center"/>
    </xf>
    <xf numFmtId="0" fontId="15" fillId="3" borderId="4" xfId="0" applyFont="1" applyFill="1" applyBorder="1" applyAlignment="1">
      <alignment horizontal="left" vertical="center"/>
    </xf>
    <xf numFmtId="0" fontId="15" fillId="3" borderId="11" xfId="0" applyFont="1" applyFill="1" applyBorder="1" applyAlignment="1">
      <alignment horizontal="left" vertical="center"/>
    </xf>
    <xf numFmtId="0" fontId="15" fillId="3" borderId="3" xfId="0" applyFont="1" applyFill="1" applyBorder="1" applyAlignment="1">
      <alignment horizontal="left" vertical="center"/>
    </xf>
    <xf numFmtId="0" fontId="15" fillId="3" borderId="10" xfId="0" applyFont="1" applyFill="1" applyBorder="1" applyAlignment="1">
      <alignment horizontal="left" vertical="center"/>
    </xf>
    <xf numFmtId="0" fontId="15" fillId="3" borderId="12" xfId="0" applyFont="1" applyFill="1" applyBorder="1" applyAlignment="1">
      <alignment horizontal="left" vertical="center"/>
    </xf>
    <xf numFmtId="0" fontId="15" fillId="3" borderId="8" xfId="0" applyFont="1" applyFill="1" applyBorder="1" applyAlignment="1">
      <alignment horizontal="left" vertical="center"/>
    </xf>
    <xf numFmtId="165" fontId="9" fillId="2" borderId="0" xfId="0" applyNumberFormat="1" applyFont="1" applyFill="1" applyAlignment="1">
      <alignment horizontal="center" vertical="center"/>
    </xf>
    <xf numFmtId="166" fontId="21" fillId="3" borderId="4" xfId="0" applyNumberFormat="1" applyFont="1" applyFill="1" applyBorder="1" applyAlignment="1">
      <alignment horizontal="right" vertical="center"/>
    </xf>
    <xf numFmtId="166" fontId="21" fillId="3" borderId="3" xfId="0" applyNumberFormat="1" applyFont="1" applyFill="1" applyBorder="1" applyAlignment="1">
      <alignment horizontal="right" vertical="center"/>
    </xf>
    <xf numFmtId="166" fontId="21" fillId="3" borderId="10" xfId="0" applyNumberFormat="1" applyFont="1" applyFill="1" applyBorder="1" applyAlignment="1">
      <alignment horizontal="right" vertical="center"/>
    </xf>
    <xf numFmtId="166" fontId="21" fillId="3" borderId="8" xfId="0" applyNumberFormat="1" applyFont="1" applyFill="1" applyBorder="1" applyAlignment="1">
      <alignment horizontal="right" vertical="center"/>
    </xf>
  </cellXfs>
  <cellStyles count="1">
    <cellStyle name="Normal" xfId="0" builtinId="0"/>
  </cellStyles>
  <dxfs count="29">
    <dxf>
      <fill>
        <patternFill>
          <bgColor rgb="FF92D050"/>
        </patternFill>
      </fill>
    </dxf>
    <dxf>
      <fill>
        <patternFill>
          <bgColor rgb="FFFF0000"/>
        </patternFill>
      </fill>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numFmt numFmtId="165" formatCode="&quot;$&quot;#,##0.00"/>
      <fill>
        <patternFill patternType="solid">
          <fgColor indexed="64"/>
          <bgColor theme="2"/>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Narrow"/>
        <family val="2"/>
        <scheme val="none"/>
      </font>
      <numFmt numFmtId="165" formatCode="&quot;$&quot;#,##0.00"/>
      <fill>
        <patternFill patternType="solid">
          <fgColor indexed="64"/>
          <bgColor them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none"/>
      </font>
      <numFmt numFmtId="165" formatCode="&quot;$&quot;#,##0.00"/>
      <fill>
        <patternFill patternType="solid">
          <fgColor indexed="64"/>
          <bgColor theme="2"/>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Narrow"/>
        <family val="2"/>
        <scheme val="none"/>
      </font>
      <numFmt numFmtId="165" formatCode="&quot;$&quot;#,##0.00"/>
      <fill>
        <patternFill patternType="solid">
          <fgColor indexed="64"/>
          <bgColor them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font>
      <fill>
        <patternFill>
          <bgColor theme="6" tint="0.59996337778862885"/>
        </patternFill>
      </fill>
      <border>
        <right style="thin">
          <color theme="6" tint="0.59996337778862885"/>
        </right>
        <bottom style="thin">
          <color theme="6" tint="0.59996337778862885"/>
        </bottom>
      </border>
    </dxf>
    <dxf>
      <fill>
        <patternFill>
          <bgColor theme="6" tint="0.79998168889431442"/>
        </patternFill>
      </fill>
      <border>
        <right style="thin">
          <color theme="0"/>
        </right>
        <horizontal style="thin">
          <color theme="0"/>
        </horizontal>
      </border>
    </dxf>
    <dxf>
      <fill>
        <patternFill>
          <bgColor theme="6" tint="0.59996337778862885"/>
        </patternFill>
      </fill>
    </dxf>
    <dxf>
      <fill>
        <patternFill>
          <bgColor theme="6" tint="0.79998168889431442"/>
        </patternFill>
      </fill>
      <border>
        <bottom style="thin">
          <color theme="0"/>
        </bottom>
        <vertical style="thin">
          <color theme="0"/>
        </vertical>
      </border>
    </dxf>
    <dxf>
      <font>
        <b/>
        <i val="0"/>
        <u val="none"/>
        <color theme="0"/>
      </font>
      <fill>
        <patternFill>
          <bgColor theme="1"/>
        </patternFill>
      </fill>
      <border>
        <bottom style="thick">
          <color theme="6" tint="0.59996337778862885"/>
        </bottom>
      </border>
    </dxf>
  </dxfs>
  <tableStyles count="1" defaultTableStyle="Custom" defaultPivotStyle="PivotStyleLight16">
    <tableStyle name="Custom" pivot="0" count="5" xr9:uid="{BFEB04BA-F626-4807-89C0-FBCE14195095}">
      <tableStyleElement type="headerRow" dxfId="28"/>
      <tableStyleElement type="totalRow" dxfId="27"/>
      <tableStyleElement type="firstColumn" dxfId="26"/>
      <tableStyleElement type="lastColumn" dxfId="25"/>
      <tableStyleElement type="firstTotalCell" dxfId="24"/>
    </tableStyle>
  </tableStyles>
  <colors>
    <mruColors>
      <color rgb="FFF5F5F5"/>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r>
              <a:rPr lang="en-US"/>
              <a:t>Overall P&amp;L Chart</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'Profit and loss statement'!$I$37:$I$43</c15:sqref>
                  </c15:fullRef>
                </c:ext>
              </c:extLst>
              <c:f>'Profit and loss statement'!$I$41:$I$43</c:f>
              <c:strCache>
                <c:ptCount val="3"/>
                <c:pt idx="0">
                  <c:v>Total Revenue </c:v>
                </c:pt>
                <c:pt idx="1">
                  <c:v>Total Expense</c:v>
                </c:pt>
                <c:pt idx="2">
                  <c:v>Net Profit/Loss </c:v>
                </c:pt>
              </c:strCache>
            </c:strRef>
          </c:cat>
          <c:val>
            <c:numRef>
              <c:extLst>
                <c:ext xmlns:c15="http://schemas.microsoft.com/office/drawing/2012/chart" uri="{02D57815-91ED-43cb-92C2-25804820EDAC}">
                  <c15:fullRef>
                    <c15:sqref>'Profit and loss statement'!$J$37:$J$43</c15:sqref>
                  </c15:fullRef>
                </c:ext>
              </c:extLst>
              <c:f>'Profit and loss statement'!$J$41:$J$43</c:f>
              <c:numCache>
                <c:formatCode>General</c:formatCode>
                <c:ptCount val="3"/>
              </c:numCache>
            </c:numRef>
          </c:val>
          <c:extLst>
            <c:ext xmlns:c16="http://schemas.microsoft.com/office/drawing/2014/chart" uri="{C3380CC4-5D6E-409C-BE32-E72D297353CC}">
              <c16:uniqueId val="{00000000-8077-40FD-B574-23477DFFBA69}"/>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'Profit and loss statement'!$I$37:$I$43</c15:sqref>
                  </c15:fullRef>
                </c:ext>
              </c:extLst>
              <c:f>'Profit and loss statement'!$I$41:$I$43</c:f>
              <c:strCache>
                <c:ptCount val="3"/>
                <c:pt idx="0">
                  <c:v>Total Revenue </c:v>
                </c:pt>
                <c:pt idx="1">
                  <c:v>Total Expense</c:v>
                </c:pt>
                <c:pt idx="2">
                  <c:v>Net Profit/Loss </c:v>
                </c:pt>
              </c:strCache>
            </c:strRef>
          </c:cat>
          <c:val>
            <c:numRef>
              <c:extLst>
                <c:ext xmlns:c15="http://schemas.microsoft.com/office/drawing/2012/chart" uri="{02D57815-91ED-43cb-92C2-25804820EDAC}">
                  <c15:fullRef>
                    <c15:sqref>'Profit and loss statement'!$K$37:$K$43</c15:sqref>
                  </c15:fullRef>
                </c:ext>
              </c:extLst>
              <c:f>'Profit and loss statement'!$K$41:$K$43</c:f>
              <c:numCache>
                <c:formatCode>General</c:formatCode>
                <c:ptCount val="3"/>
              </c:numCache>
            </c:numRef>
          </c:val>
          <c:extLst>
            <c:ext xmlns:c16="http://schemas.microsoft.com/office/drawing/2014/chart" uri="{C3380CC4-5D6E-409C-BE32-E72D297353CC}">
              <c16:uniqueId val="{00000001-8077-40FD-B574-23477DFFBA69}"/>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'Profit and loss statement'!$I$37:$I$43</c15:sqref>
                  </c15:fullRef>
                </c:ext>
              </c:extLst>
              <c:f>'Profit and loss statement'!$I$41:$I$43</c:f>
              <c:strCache>
                <c:ptCount val="3"/>
                <c:pt idx="0">
                  <c:v>Total Revenue </c:v>
                </c:pt>
                <c:pt idx="1">
                  <c:v>Total Expense</c:v>
                </c:pt>
                <c:pt idx="2">
                  <c:v>Net Profit/Loss </c:v>
                </c:pt>
              </c:strCache>
            </c:strRef>
          </c:cat>
          <c:val>
            <c:numRef>
              <c:extLst>
                <c:ext xmlns:c15="http://schemas.microsoft.com/office/drawing/2012/chart" uri="{02D57815-91ED-43cb-92C2-25804820EDAC}">
                  <c15:fullRef>
                    <c15:sqref>'Profit and loss statement'!$L$37:$L$43</c15:sqref>
                  </c15:fullRef>
                </c:ext>
              </c:extLst>
              <c:f>'Profit and loss statement'!$L$41:$L$43</c:f>
              <c:numCache>
                <c:formatCode>General</c:formatCode>
                <c:ptCount val="3"/>
              </c:numCache>
            </c:numRef>
          </c:val>
          <c:extLst>
            <c:ext xmlns:c16="http://schemas.microsoft.com/office/drawing/2014/chart" uri="{C3380CC4-5D6E-409C-BE32-E72D297353CC}">
              <c16:uniqueId val="{00000002-8077-40FD-B574-23477DFFBA69}"/>
            </c:ext>
          </c:extLst>
        </c:ser>
        <c:ser>
          <c:idx val="3"/>
          <c:order val="3"/>
          <c:spPr>
            <a:solidFill>
              <a:srgbClr val="00B0F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5-8077-40FD-B574-23477DFFBA69}"/>
              </c:ext>
            </c:extLst>
          </c:dPt>
          <c:dPt>
            <c:idx val="2"/>
            <c:invertIfNegative val="0"/>
            <c:bubble3D val="0"/>
            <c:spPr>
              <a:solidFill>
                <a:srgbClr val="00B050"/>
              </a:solidFill>
              <a:ln>
                <a:noFill/>
              </a:ln>
              <a:effectLst/>
            </c:spPr>
            <c:extLst>
              <c:ext xmlns:c16="http://schemas.microsoft.com/office/drawing/2014/chart" uri="{C3380CC4-5D6E-409C-BE32-E72D297353CC}">
                <c16:uniqueId val="{00000006-8077-40FD-B574-23477DFFBA69}"/>
              </c:ext>
            </c:extLst>
          </c:dPt>
          <c:cat>
            <c:strRef>
              <c:extLst>
                <c:ext xmlns:c15="http://schemas.microsoft.com/office/drawing/2012/chart" uri="{02D57815-91ED-43cb-92C2-25804820EDAC}">
                  <c15:fullRef>
                    <c15:sqref>'Profit and loss statement'!$I$37:$I$43</c15:sqref>
                  </c15:fullRef>
                </c:ext>
              </c:extLst>
              <c:f>'Profit and loss statement'!$I$41:$I$43</c:f>
              <c:strCache>
                <c:ptCount val="3"/>
                <c:pt idx="0">
                  <c:v>Total Revenue </c:v>
                </c:pt>
                <c:pt idx="1">
                  <c:v>Total Expense</c:v>
                </c:pt>
                <c:pt idx="2">
                  <c:v>Net Profit/Loss </c:v>
                </c:pt>
              </c:strCache>
            </c:strRef>
          </c:cat>
          <c:val>
            <c:numRef>
              <c:extLst>
                <c:ext xmlns:c15="http://schemas.microsoft.com/office/drawing/2012/chart" uri="{02D57815-91ED-43cb-92C2-25804820EDAC}">
                  <c15:fullRef>
                    <c15:sqref>'Profit and loss statement'!$M$37:$M$43</c15:sqref>
                  </c15:fullRef>
                </c:ext>
              </c:extLst>
              <c:f>'Profit and loss statement'!$M$41:$M$43</c:f>
              <c:numCache>
                <c:formatCode>General</c:formatCode>
                <c:ptCount val="3"/>
                <c:pt idx="0" formatCode="[$SAR]\ #,##0.00">
                  <c:v>0</c:v>
                </c:pt>
                <c:pt idx="1" formatCode="[$SAR]\ #,##0.00">
                  <c:v>0</c:v>
                </c:pt>
                <c:pt idx="2" formatCode="[$SAR]\ #,##0.00">
                  <c:v>0</c:v>
                </c:pt>
              </c:numCache>
            </c:numRef>
          </c:val>
          <c:extLst>
            <c:ext xmlns:c16="http://schemas.microsoft.com/office/drawing/2014/chart" uri="{C3380CC4-5D6E-409C-BE32-E72D297353CC}">
              <c16:uniqueId val="{00000003-8077-40FD-B574-23477DFFBA69}"/>
            </c:ext>
          </c:extLst>
        </c:ser>
        <c:ser>
          <c:idx val="4"/>
          <c:order val="4"/>
          <c:spPr>
            <a:solidFill>
              <a:schemeClr val="accent5"/>
            </a:solidFill>
            <a:ln>
              <a:noFill/>
            </a:ln>
            <a:effectLst/>
          </c:spPr>
          <c:invertIfNegative val="0"/>
          <c:cat>
            <c:strRef>
              <c:extLst>
                <c:ext xmlns:c15="http://schemas.microsoft.com/office/drawing/2012/chart" uri="{02D57815-91ED-43cb-92C2-25804820EDAC}">
                  <c15:fullRef>
                    <c15:sqref>'Profit and loss statement'!$I$37:$I$43</c15:sqref>
                  </c15:fullRef>
                </c:ext>
              </c:extLst>
              <c:f>'Profit and loss statement'!$I$41:$I$43</c:f>
              <c:strCache>
                <c:ptCount val="3"/>
                <c:pt idx="0">
                  <c:v>Total Revenue </c:v>
                </c:pt>
                <c:pt idx="1">
                  <c:v>Total Expense</c:v>
                </c:pt>
                <c:pt idx="2">
                  <c:v>Net Profit/Loss </c:v>
                </c:pt>
              </c:strCache>
            </c:strRef>
          </c:cat>
          <c:val>
            <c:numRef>
              <c:extLst>
                <c:ext xmlns:c15="http://schemas.microsoft.com/office/drawing/2012/chart" uri="{02D57815-91ED-43cb-92C2-25804820EDAC}">
                  <c15:fullRef>
                    <c15:sqref>'Profit and loss statement'!$N$37:$N$43</c15:sqref>
                  </c15:fullRef>
                </c:ext>
              </c:extLst>
              <c:f>'Profit and loss statement'!$N$41:$N$43</c:f>
              <c:numCache>
                <c:formatCode>General</c:formatCode>
                <c:ptCount val="3"/>
              </c:numCache>
            </c:numRef>
          </c:val>
          <c:extLst>
            <c:ext xmlns:c16="http://schemas.microsoft.com/office/drawing/2014/chart" uri="{C3380CC4-5D6E-409C-BE32-E72D297353CC}">
              <c16:uniqueId val="{00000004-8077-40FD-B574-23477DFFBA69}"/>
            </c:ext>
          </c:extLst>
        </c:ser>
        <c:dLbls>
          <c:showLegendKey val="0"/>
          <c:showVal val="0"/>
          <c:showCatName val="0"/>
          <c:showSerName val="0"/>
          <c:showPercent val="0"/>
          <c:showBubbleSize val="0"/>
        </c:dLbls>
        <c:gapWidth val="219"/>
        <c:overlap val="-27"/>
        <c:axId val="472367536"/>
        <c:axId val="472357456"/>
      </c:barChart>
      <c:catAx>
        <c:axId val="4723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72357456"/>
        <c:crosses val="autoZero"/>
        <c:auto val="1"/>
        <c:lblAlgn val="ctr"/>
        <c:lblOffset val="100"/>
        <c:noMultiLvlLbl val="0"/>
      </c:catAx>
      <c:valAx>
        <c:axId val="47235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72367536"/>
        <c:crosses val="autoZero"/>
        <c:crossBetween val="between"/>
      </c:valAx>
      <c:spPr>
        <a:noFill/>
        <a:ln>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sz="1400" b="1" baseline="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aseline="0">
                <a:solidFill>
                  <a:schemeClr val="tx1"/>
                </a:solidFill>
              </a:rPr>
              <a:t>Company vs Company – Full P&amp;L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 and loss statement'!$K$51</c:f>
              <c:strCache>
                <c:ptCount val="1"/>
                <c:pt idx="0">
                  <c:v>MCCL</c:v>
                </c:pt>
              </c:strCache>
            </c:strRef>
          </c:tx>
          <c:spPr>
            <a:solidFill>
              <a:schemeClr val="accent1"/>
            </a:solidFill>
            <a:ln>
              <a:noFill/>
            </a:ln>
            <a:effectLst/>
          </c:spPr>
          <c:invertIfNegative val="0"/>
          <c:cat>
            <c:strRef>
              <c:f>'Profit and loss statement'!$L$50:$N$50</c:f>
              <c:strCache>
                <c:ptCount val="3"/>
                <c:pt idx="0">
                  <c:v>Revenue</c:v>
                </c:pt>
                <c:pt idx="1">
                  <c:v>Expense</c:v>
                </c:pt>
                <c:pt idx="2">
                  <c:v>Profit</c:v>
                </c:pt>
              </c:strCache>
            </c:strRef>
          </c:cat>
          <c:val>
            <c:numRef>
              <c:f>'Profit and loss statement'!$L$51:$N$51</c:f>
              <c:numCache>
                <c:formatCode>[$SAR]\ #,##0.00</c:formatCode>
                <c:ptCount val="3"/>
                <c:pt idx="0">
                  <c:v>0</c:v>
                </c:pt>
                <c:pt idx="1">
                  <c:v>0</c:v>
                </c:pt>
                <c:pt idx="2">
                  <c:v>0</c:v>
                </c:pt>
              </c:numCache>
            </c:numRef>
          </c:val>
          <c:extLst>
            <c:ext xmlns:c16="http://schemas.microsoft.com/office/drawing/2014/chart" uri="{C3380CC4-5D6E-409C-BE32-E72D297353CC}">
              <c16:uniqueId val="{00000000-2320-423E-A0B6-6452FDA9FE97}"/>
            </c:ext>
          </c:extLst>
        </c:ser>
        <c:ser>
          <c:idx val="1"/>
          <c:order val="1"/>
          <c:tx>
            <c:strRef>
              <c:f>'Profit and loss statement'!$K$52</c:f>
              <c:strCache>
                <c:ptCount val="1"/>
                <c:pt idx="0">
                  <c:v>LOCAL WORK</c:v>
                </c:pt>
              </c:strCache>
            </c:strRef>
          </c:tx>
          <c:spPr>
            <a:solidFill>
              <a:schemeClr val="accent2"/>
            </a:solidFill>
            <a:ln>
              <a:noFill/>
            </a:ln>
            <a:effectLst/>
          </c:spPr>
          <c:invertIfNegative val="0"/>
          <c:cat>
            <c:strRef>
              <c:f>'Profit and loss statement'!$L$50:$N$50</c:f>
              <c:strCache>
                <c:ptCount val="3"/>
                <c:pt idx="0">
                  <c:v>Revenue</c:v>
                </c:pt>
                <c:pt idx="1">
                  <c:v>Expense</c:v>
                </c:pt>
                <c:pt idx="2">
                  <c:v>Profit</c:v>
                </c:pt>
              </c:strCache>
            </c:strRef>
          </c:cat>
          <c:val>
            <c:numRef>
              <c:f>'Profit and loss statement'!$L$52:$N$52</c:f>
              <c:numCache>
                <c:formatCode>[$SAR]\ #,##0.00</c:formatCode>
                <c:ptCount val="3"/>
                <c:pt idx="0">
                  <c:v>0</c:v>
                </c:pt>
                <c:pt idx="1">
                  <c:v>0</c:v>
                </c:pt>
                <c:pt idx="2">
                  <c:v>0</c:v>
                </c:pt>
              </c:numCache>
            </c:numRef>
          </c:val>
          <c:extLst>
            <c:ext xmlns:c16="http://schemas.microsoft.com/office/drawing/2014/chart" uri="{C3380CC4-5D6E-409C-BE32-E72D297353CC}">
              <c16:uniqueId val="{00000001-2320-423E-A0B6-6452FDA9FE97}"/>
            </c:ext>
          </c:extLst>
        </c:ser>
        <c:dLbls>
          <c:showLegendKey val="0"/>
          <c:showVal val="0"/>
          <c:showCatName val="0"/>
          <c:showSerName val="0"/>
          <c:showPercent val="0"/>
          <c:showBubbleSize val="0"/>
        </c:dLbls>
        <c:gapWidth val="219"/>
        <c:overlap val="-27"/>
        <c:axId val="1683322944"/>
        <c:axId val="1683350304"/>
      </c:barChart>
      <c:catAx>
        <c:axId val="16833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683350304"/>
        <c:crosses val="autoZero"/>
        <c:auto val="1"/>
        <c:lblAlgn val="ctr"/>
        <c:lblOffset val="100"/>
        <c:noMultiLvlLbl val="0"/>
      </c:catAx>
      <c:valAx>
        <c:axId val="168335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tx1"/>
                </a:solidFill>
                <a:latin typeface="+mn-lt"/>
                <a:ea typeface="+mn-ea"/>
                <a:cs typeface="+mn-cs"/>
              </a:defRPr>
            </a:pPr>
            <a:endParaRPr lang="en-US"/>
          </a:p>
        </c:txPr>
        <c:crossAx val="1683322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2266950</xdr:colOff>
      <xdr:row>0</xdr:row>
      <xdr:rowOff>0</xdr:rowOff>
    </xdr:from>
    <xdr:to>
      <xdr:col>14</xdr:col>
      <xdr:colOff>270113</xdr:colOff>
      <xdr:row>5</xdr:row>
      <xdr:rowOff>559</xdr:rowOff>
    </xdr:to>
    <xdr:sp macro="" textlink="">
      <xdr:nvSpPr>
        <xdr:cNvPr id="9" name="Rectangle: Top Corners One Rounded and One Snipped 8">
          <a:extLst>
            <a:ext uri="{FF2B5EF4-FFF2-40B4-BE49-F238E27FC236}">
              <a16:creationId xmlns:a16="http://schemas.microsoft.com/office/drawing/2014/main" id="{877078DD-D252-40DE-A5EC-11C3B92CA0E5}"/>
            </a:ext>
            <a:ext uri="{C183D7F6-B498-43B3-948B-1728B52AA6E4}">
              <adec:decorative xmlns:adec="http://schemas.microsoft.com/office/drawing/2017/decorative" val="1"/>
            </a:ext>
          </a:extLst>
        </xdr:cNvPr>
        <xdr:cNvSpPr/>
      </xdr:nvSpPr>
      <xdr:spPr>
        <a:xfrm flipH="1" flipV="1">
          <a:off x="19335750" y="0"/>
          <a:ext cx="2241788" cy="1743634"/>
        </a:xfrm>
        <a:prstGeom prst="snipRoundRect">
          <a:avLst>
            <a:gd name="adj1" fmla="val 50000"/>
            <a:gd name="adj2" fmla="val 0"/>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235568</xdr:colOff>
      <xdr:row>0</xdr:row>
      <xdr:rowOff>59270</xdr:rowOff>
    </xdr:from>
    <xdr:to>
      <xdr:col>4</xdr:col>
      <xdr:colOff>91108</xdr:colOff>
      <xdr:row>3</xdr:row>
      <xdr:rowOff>238278</xdr:rowOff>
    </xdr:to>
    <xdr:pic>
      <xdr:nvPicPr>
        <xdr:cNvPr id="3" name="Picture 2">
          <a:extLst>
            <a:ext uri="{FF2B5EF4-FFF2-40B4-BE49-F238E27FC236}">
              <a16:creationId xmlns:a16="http://schemas.microsoft.com/office/drawing/2014/main" id="{73BCD081-2871-757A-4B21-041A05E9DD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07" y="59270"/>
          <a:ext cx="2911823" cy="1297160"/>
        </a:xfrm>
        <a:prstGeom prst="rect">
          <a:avLst/>
        </a:prstGeom>
      </xdr:spPr>
    </xdr:pic>
    <xdr:clientData/>
  </xdr:twoCellAnchor>
  <xdr:twoCellAnchor>
    <xdr:from>
      <xdr:col>1</xdr:col>
      <xdr:colOff>129267</xdr:colOff>
      <xdr:row>32</xdr:row>
      <xdr:rowOff>166006</xdr:rowOff>
    </xdr:from>
    <xdr:to>
      <xdr:col>6</xdr:col>
      <xdr:colOff>605117</xdr:colOff>
      <xdr:row>53</xdr:row>
      <xdr:rowOff>134471</xdr:rowOff>
    </xdr:to>
    <xdr:graphicFrame macro="">
      <xdr:nvGraphicFramePr>
        <xdr:cNvPr id="17" name="Chart 16">
          <a:extLst>
            <a:ext uri="{FF2B5EF4-FFF2-40B4-BE49-F238E27FC236}">
              <a16:creationId xmlns:a16="http://schemas.microsoft.com/office/drawing/2014/main" id="{05A176DD-D0E9-A826-7C5E-5D9A2A311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158000</xdr:colOff>
      <xdr:row>53</xdr:row>
      <xdr:rowOff>174251</xdr:rowOff>
    </xdr:from>
    <xdr:to>
      <xdr:col>14</xdr:col>
      <xdr:colOff>99172</xdr:colOff>
      <xdr:row>73</xdr:row>
      <xdr:rowOff>56589</xdr:rowOff>
    </xdr:to>
    <xdr:graphicFrame macro="">
      <xdr:nvGraphicFramePr>
        <xdr:cNvPr id="5" name="Chart 4">
          <a:extLst>
            <a:ext uri="{FF2B5EF4-FFF2-40B4-BE49-F238E27FC236}">
              <a16:creationId xmlns:a16="http://schemas.microsoft.com/office/drawing/2014/main" id="{F86C35ED-2B41-F86F-65D6-764BF54E4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1350065</xdr:colOff>
      <xdr:row>76</xdr:row>
      <xdr:rowOff>41413</xdr:rowOff>
    </xdr:from>
    <xdr:to>
      <xdr:col>4</xdr:col>
      <xdr:colOff>1747630</xdr:colOff>
      <xdr:row>81</xdr:row>
      <xdr:rowOff>115957</xdr:rowOff>
    </xdr:to>
    <xdr:sp macro="" textlink="">
      <xdr:nvSpPr>
        <xdr:cNvPr id="2" name="Rectangle 1">
          <a:extLst>
            <a:ext uri="{FF2B5EF4-FFF2-40B4-BE49-F238E27FC236}">
              <a16:creationId xmlns:a16="http://schemas.microsoft.com/office/drawing/2014/main" id="{01354A7C-C704-3F09-D22B-CA0B3B7E7674}"/>
            </a:ext>
          </a:extLst>
        </xdr:cNvPr>
        <xdr:cNvSpPr/>
      </xdr:nvSpPr>
      <xdr:spPr>
        <a:xfrm>
          <a:off x="4141304" y="21675587"/>
          <a:ext cx="2120348" cy="1234109"/>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530087</xdr:colOff>
      <xdr:row>78</xdr:row>
      <xdr:rowOff>182217</xdr:rowOff>
    </xdr:from>
    <xdr:to>
      <xdr:col>5</xdr:col>
      <xdr:colOff>819978</xdr:colOff>
      <xdr:row>84</xdr:row>
      <xdr:rowOff>165652</xdr:rowOff>
    </xdr:to>
    <xdr:sp macro="" textlink="">
      <xdr:nvSpPr>
        <xdr:cNvPr id="4" name="Rectangle 3">
          <a:extLst>
            <a:ext uri="{FF2B5EF4-FFF2-40B4-BE49-F238E27FC236}">
              <a16:creationId xmlns:a16="http://schemas.microsoft.com/office/drawing/2014/main" id="{111B4645-A359-8B3D-FA02-D1DF4761FCE5}"/>
            </a:ext>
          </a:extLst>
        </xdr:cNvPr>
        <xdr:cNvSpPr/>
      </xdr:nvSpPr>
      <xdr:spPr>
        <a:xfrm>
          <a:off x="5044109" y="22280217"/>
          <a:ext cx="2103782" cy="1374913"/>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1747630</xdr:colOff>
      <xdr:row>76</xdr:row>
      <xdr:rowOff>33130</xdr:rowOff>
    </xdr:from>
    <xdr:to>
      <xdr:col>5</xdr:col>
      <xdr:colOff>828261</xdr:colOff>
      <xdr:row>78</xdr:row>
      <xdr:rowOff>173935</xdr:rowOff>
    </xdr:to>
    <xdr:cxnSp macro="">
      <xdr:nvCxnSpPr>
        <xdr:cNvPr id="7" name="Straight Connector 6">
          <a:extLst>
            <a:ext uri="{FF2B5EF4-FFF2-40B4-BE49-F238E27FC236}">
              <a16:creationId xmlns:a16="http://schemas.microsoft.com/office/drawing/2014/main" id="{228BF9B9-28C3-98DA-8E3F-54BACCE99EA1}"/>
            </a:ext>
          </a:extLst>
        </xdr:cNvPr>
        <xdr:cNvCxnSpPr/>
      </xdr:nvCxnSpPr>
      <xdr:spPr>
        <a:xfrm>
          <a:off x="6261652" y="21667304"/>
          <a:ext cx="894522" cy="604631"/>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1358348</xdr:colOff>
      <xdr:row>81</xdr:row>
      <xdr:rowOff>115957</xdr:rowOff>
    </xdr:from>
    <xdr:to>
      <xdr:col>4</xdr:col>
      <xdr:colOff>546652</xdr:colOff>
      <xdr:row>84</xdr:row>
      <xdr:rowOff>157370</xdr:rowOff>
    </xdr:to>
    <xdr:cxnSp macro="">
      <xdr:nvCxnSpPr>
        <xdr:cNvPr id="13" name="Straight Connector 12">
          <a:extLst>
            <a:ext uri="{FF2B5EF4-FFF2-40B4-BE49-F238E27FC236}">
              <a16:creationId xmlns:a16="http://schemas.microsoft.com/office/drawing/2014/main" id="{787A74B1-D4AE-AC5A-E277-B3E818B56BEA}"/>
            </a:ext>
          </a:extLst>
        </xdr:cNvPr>
        <xdr:cNvCxnSpPr/>
      </xdr:nvCxnSpPr>
      <xdr:spPr>
        <a:xfrm>
          <a:off x="4149587" y="22909696"/>
          <a:ext cx="911087" cy="737152"/>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1341783</xdr:colOff>
      <xdr:row>76</xdr:row>
      <xdr:rowOff>41413</xdr:rowOff>
    </xdr:from>
    <xdr:to>
      <xdr:col>4</xdr:col>
      <xdr:colOff>546652</xdr:colOff>
      <xdr:row>78</xdr:row>
      <xdr:rowOff>182217</xdr:rowOff>
    </xdr:to>
    <xdr:cxnSp macro="">
      <xdr:nvCxnSpPr>
        <xdr:cNvPr id="15" name="Straight Connector 14">
          <a:extLst>
            <a:ext uri="{FF2B5EF4-FFF2-40B4-BE49-F238E27FC236}">
              <a16:creationId xmlns:a16="http://schemas.microsoft.com/office/drawing/2014/main" id="{EB331BBA-1625-74D4-6669-EE71360F7C0E}"/>
            </a:ext>
          </a:extLst>
        </xdr:cNvPr>
        <xdr:cNvCxnSpPr/>
      </xdr:nvCxnSpPr>
      <xdr:spPr>
        <a:xfrm>
          <a:off x="4133022" y="21675587"/>
          <a:ext cx="927652" cy="60463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1747630</xdr:colOff>
      <xdr:row>81</xdr:row>
      <xdr:rowOff>124239</xdr:rowOff>
    </xdr:from>
    <xdr:to>
      <xdr:col>5</xdr:col>
      <xdr:colOff>836544</xdr:colOff>
      <xdr:row>84</xdr:row>
      <xdr:rowOff>157370</xdr:rowOff>
    </xdr:to>
    <xdr:cxnSp macro="">
      <xdr:nvCxnSpPr>
        <xdr:cNvPr id="18" name="Straight Connector 17">
          <a:extLst>
            <a:ext uri="{FF2B5EF4-FFF2-40B4-BE49-F238E27FC236}">
              <a16:creationId xmlns:a16="http://schemas.microsoft.com/office/drawing/2014/main" id="{AE567ACB-BCF2-6C4E-6E18-710AD6A7785B}"/>
            </a:ext>
          </a:extLst>
        </xdr:cNvPr>
        <xdr:cNvCxnSpPr/>
      </xdr:nvCxnSpPr>
      <xdr:spPr>
        <a:xfrm>
          <a:off x="6261652" y="22917978"/>
          <a:ext cx="902805" cy="72887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00BF61-D020-47E7-9FB6-DC9E7AB07BE3}" name="tblRevenue" displayName="tblRevenue" ref="B8:G29" totalsRowShown="0" headerRowDxfId="23" dataDxfId="21" headerRowBorderDxfId="22" tableBorderDxfId="20" totalsRowBorderDxfId="19">
  <autoFilter ref="B8:G29" xr:uid="{1F00BF61-D020-47E7-9FB6-DC9E7AB07BE3}"/>
  <tableColumns count="6">
    <tableColumn id="1" xr3:uid="{37CFD3DA-681C-4B4E-957B-05D15C150EF4}" name="Sr No" dataDxfId="18"/>
    <tableColumn id="2" xr3:uid="{E80887BE-F842-4CC3-AD96-DFDB68C6BB94}" name="Date" dataDxfId="17"/>
    <tableColumn id="3" xr3:uid="{BD559C22-AB4F-43A4-BC0E-06656ACF4231}" name="Project" dataDxfId="16"/>
    <tableColumn id="4" xr3:uid="{73F92333-38FF-438B-875E-7CAC7999103E}" name="Revenue Category" dataDxfId="15"/>
    <tableColumn id="5" xr3:uid="{D296FC40-125D-4967-94A3-4C58817F3FB6}" name="Description " dataDxfId="14"/>
    <tableColumn id="6" xr3:uid="{9F4B0BC3-7671-4CCD-BF9E-6B1EBE8E752A}" name="Amount "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BC685F-A43E-40FE-B754-3EFEEC0C96A0}" name="tblExpense" displayName="tblExpense" ref="I8:N29" totalsRowShown="0" headerRowDxfId="12" dataDxfId="10" headerRowBorderDxfId="11" tableBorderDxfId="9" totalsRowBorderDxfId="8">
  <autoFilter ref="I8:N29" xr:uid="{4FBC685F-A43E-40FE-B754-3EFEEC0C96A0}"/>
  <tableColumns count="6">
    <tableColumn id="1" xr3:uid="{C43EA570-3661-4B9B-9004-2C0723B94958}" name="Sr No" dataDxfId="7"/>
    <tableColumn id="2" xr3:uid="{6945A9C7-1D2C-46D7-B54E-DC4463A0A175}" name="Date" dataDxfId="6"/>
    <tableColumn id="3" xr3:uid="{D496609D-28D9-499C-A8E5-68C39A577C73}" name="Project" dataDxfId="5"/>
    <tableColumn id="4" xr3:uid="{44A2DE57-2AE0-4285-877E-C45429C500DA}" name="Expense Category" dataDxfId="4"/>
    <tableColumn id="5" xr3:uid="{5B065BE3-B6DB-4E00-BF74-FFCBFFB27A46}" name="Description " dataDxfId="3"/>
    <tableColumn id="6" xr3:uid="{A3986AC8-BB0F-4361-8F93-F5A00176C9D1}" name="Amount " dataDxfId="2"/>
  </tableColumns>
  <tableStyleInfo showFirstColumn="0" showLastColumn="0" showRowStripes="1" showColumnStripes="0"/>
</table>
</file>

<file path=xl/theme/theme1.xml><?xml version="1.0" encoding="utf-8"?>
<a:theme xmlns:a="http://schemas.openxmlformats.org/drawingml/2006/main" name="Business Templates">
  <a:themeElements>
    <a:clrScheme name="Custom 405">
      <a:dk1>
        <a:sysClr val="windowText" lastClr="000000"/>
      </a:dk1>
      <a:lt1>
        <a:srgbClr val="FFFFFF"/>
      </a:lt1>
      <a:dk2>
        <a:srgbClr val="000000"/>
      </a:dk2>
      <a:lt2>
        <a:srgbClr val="DDE8C8"/>
      </a:lt2>
      <a:accent1>
        <a:srgbClr val="FFD400"/>
      </a:accent1>
      <a:accent2>
        <a:srgbClr val="00B0F0"/>
      </a:accent2>
      <a:accent3>
        <a:srgbClr val="AAC777"/>
      </a:accent3>
      <a:accent4>
        <a:srgbClr val="F2F2F2"/>
      </a:accent4>
      <a:accent5>
        <a:srgbClr val="EF602D"/>
      </a:accent5>
      <a:accent6>
        <a:srgbClr val="FF4792"/>
      </a:accent6>
      <a:hlink>
        <a:srgbClr val="00B0F0"/>
      </a:hlink>
      <a:folHlink>
        <a:srgbClr val="9C84B5"/>
      </a:folHlink>
    </a:clrScheme>
    <a:fontScheme name="Custom 65">
      <a:majorFont>
        <a:latin typeface="Corbel"/>
        <a:ea typeface=""/>
        <a:cs typeface=""/>
      </a:majorFont>
      <a:minorFont>
        <a:latin typeface="Courier New"/>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spDef>
      <a:spPr>
        <a:solidFill>
          <a:schemeClr val="tx2">
            <a:lumMod val="75000"/>
          </a:schemeClr>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E002-CA35-4DE7-AF11-AB272C58AF41}">
  <sheetPr codeName="Sheet1">
    <pageSetUpPr fitToPage="1"/>
  </sheetPr>
  <dimension ref="A1:O58"/>
  <sheetViews>
    <sheetView showGridLines="0" tabSelected="1" topLeftCell="B57" zoomScale="115" zoomScaleNormal="115" zoomScaleSheetLayoutView="100" workbookViewId="0">
      <selection activeCell="G78" sqref="G78"/>
    </sheetView>
  </sheetViews>
  <sheetFormatPr defaultColWidth="8.88671875" defaultRowHeight="18" customHeight="1" x14ac:dyDescent="0.25"/>
  <cols>
    <col min="1" max="1" width="17" style="4" customWidth="1"/>
    <col min="2" max="2" width="6" style="1" customWidth="1"/>
    <col min="3" max="3" width="9.5546875" style="17" customWidth="1"/>
    <col min="4" max="4" width="20.109375" style="3" customWidth="1"/>
    <col min="5" max="5" width="21.109375" style="3" customWidth="1"/>
    <col min="6" max="6" width="20.109375" style="3" customWidth="1"/>
    <col min="7" max="7" width="23.33203125" style="4" customWidth="1"/>
    <col min="8" max="8" width="17" style="4" customWidth="1"/>
    <col min="9" max="9" width="5.88671875" style="4" customWidth="1"/>
    <col min="10" max="10" width="9.5546875" style="4" customWidth="1"/>
    <col min="11" max="11" width="18.6640625" style="4" customWidth="1"/>
    <col min="12" max="12" width="22.88671875" style="4" customWidth="1"/>
    <col min="13" max="13" width="26.5546875" style="4" customWidth="1"/>
    <col min="14" max="15" width="22.88671875" style="4" customWidth="1"/>
    <col min="16" max="16384" width="8.88671875" style="2"/>
  </cols>
  <sheetData>
    <row r="1" spans="1:15" s="10" customFormat="1" ht="9.9499999999999993" customHeight="1" x14ac:dyDescent="0.25">
      <c r="A1" s="8"/>
      <c r="B1" s="5"/>
      <c r="C1" s="6"/>
      <c r="D1" s="7"/>
      <c r="E1" s="7"/>
      <c r="F1" s="7"/>
      <c r="G1" s="8"/>
      <c r="H1" s="8"/>
      <c r="I1" s="8"/>
      <c r="J1" s="8"/>
      <c r="K1" s="8"/>
      <c r="L1" s="8"/>
      <c r="M1" s="8"/>
      <c r="N1" s="9"/>
      <c r="O1" s="9"/>
    </row>
    <row r="2" spans="1:15" s="13" customFormat="1" ht="50.1" customHeight="1" x14ac:dyDescent="0.55000000000000004">
      <c r="A2" s="11"/>
      <c r="B2" s="11"/>
      <c r="C2" s="11"/>
      <c r="D2" s="70" t="s">
        <v>1</v>
      </c>
      <c r="E2" s="70"/>
      <c r="F2" s="70"/>
      <c r="G2" s="70"/>
      <c r="H2" s="70"/>
      <c r="I2" s="64" t="s">
        <v>11</v>
      </c>
      <c r="J2" s="64"/>
      <c r="K2" s="64"/>
      <c r="L2" s="72">
        <f>G30-N30</f>
        <v>0</v>
      </c>
      <c r="M2" s="72"/>
      <c r="N2" s="12"/>
      <c r="O2" s="12"/>
    </row>
    <row r="3" spans="1:15" s="10" customFormat="1" ht="28.5" x14ac:dyDescent="0.25">
      <c r="A3" s="14"/>
      <c r="B3" s="14"/>
      <c r="C3" s="14"/>
      <c r="D3" s="71" t="s">
        <v>0</v>
      </c>
      <c r="E3" s="71"/>
      <c r="F3" s="71"/>
      <c r="G3" s="71"/>
      <c r="H3" s="71"/>
      <c r="I3" s="77" t="s">
        <v>30</v>
      </c>
      <c r="J3" s="77"/>
      <c r="K3" s="15" t="str">
        <f>IF((M41-M42)&gt;0,"PROFITABLE","LOSS MAKING")</f>
        <v>LOSS MAKING</v>
      </c>
      <c r="L3" s="15"/>
      <c r="M3" s="15"/>
      <c r="N3" s="16"/>
      <c r="O3" s="16"/>
    </row>
    <row r="4" spans="1:15" s="10" customFormat="1" ht="24.95" customHeight="1" x14ac:dyDescent="0.25">
      <c r="A4" s="84" t="str">
        <f>"P&amp;L CHART OF MONTH "&amp;UPPER(TEXT(MIN(tblRevenue[Date]),"mmmm"))</f>
        <v>P&amp;L CHART OF MONTH FEBRUARY</v>
      </c>
      <c r="B4" s="84"/>
      <c r="C4" s="84"/>
      <c r="D4" s="84"/>
      <c r="E4" s="84"/>
      <c r="F4" s="84"/>
      <c r="G4" s="84"/>
      <c r="H4" s="84"/>
      <c r="I4" s="84"/>
      <c r="J4" s="84"/>
      <c r="K4" s="84"/>
      <c r="L4" s="84"/>
      <c r="M4" s="84"/>
      <c r="N4" s="16"/>
      <c r="O4" s="16"/>
    </row>
    <row r="5" spans="1:15" s="10" customFormat="1" ht="24.95" customHeight="1" x14ac:dyDescent="0.25">
      <c r="A5" s="84"/>
      <c r="B5" s="84"/>
      <c r="C5" s="84"/>
      <c r="D5" s="84"/>
      <c r="E5" s="84"/>
      <c r="F5" s="84"/>
      <c r="G5" s="84"/>
      <c r="H5" s="84"/>
      <c r="I5" s="84"/>
      <c r="J5" s="84"/>
      <c r="K5" s="84"/>
      <c r="L5" s="84"/>
      <c r="M5" s="84"/>
      <c r="N5" s="16"/>
      <c r="O5" s="16"/>
    </row>
    <row r="6" spans="1:15" ht="26.25" customHeight="1" x14ac:dyDescent="0.25">
      <c r="A6" s="18"/>
      <c r="B6" s="65" t="s">
        <v>7</v>
      </c>
      <c r="C6" s="65"/>
      <c r="D6" s="65"/>
      <c r="E6" s="65"/>
      <c r="F6" s="65"/>
      <c r="G6" s="65"/>
      <c r="H6" s="18"/>
      <c r="I6" s="65" t="s">
        <v>9</v>
      </c>
      <c r="J6" s="65"/>
      <c r="K6" s="65"/>
      <c r="L6" s="65"/>
      <c r="M6" s="65"/>
      <c r="N6" s="65"/>
      <c r="O6" s="19"/>
    </row>
    <row r="7" spans="1:15" ht="18" customHeight="1" x14ac:dyDescent="0.25">
      <c r="A7" s="18"/>
      <c r="B7" s="65"/>
      <c r="C7" s="65"/>
      <c r="D7" s="65"/>
      <c r="E7" s="65"/>
      <c r="F7" s="65"/>
      <c r="G7" s="65"/>
      <c r="H7" s="18"/>
      <c r="I7" s="65"/>
      <c r="J7" s="65"/>
      <c r="K7" s="65"/>
      <c r="L7" s="65"/>
      <c r="M7" s="65"/>
      <c r="N7" s="65"/>
      <c r="O7" s="19"/>
    </row>
    <row r="8" spans="1:15" ht="20.25" customHeight="1" x14ac:dyDescent="0.25">
      <c r="A8" s="18"/>
      <c r="B8" s="56" t="s">
        <v>8</v>
      </c>
      <c r="C8" s="57" t="s">
        <v>2</v>
      </c>
      <c r="D8" s="58" t="s">
        <v>3</v>
      </c>
      <c r="E8" s="59" t="s">
        <v>4</v>
      </c>
      <c r="F8" s="59" t="s">
        <v>5</v>
      </c>
      <c r="G8" s="60" t="s">
        <v>6</v>
      </c>
      <c r="H8" s="61"/>
      <c r="I8" s="56" t="s">
        <v>8</v>
      </c>
      <c r="J8" s="57" t="s">
        <v>2</v>
      </c>
      <c r="K8" s="58" t="s">
        <v>3</v>
      </c>
      <c r="L8" s="59" t="s">
        <v>10</v>
      </c>
      <c r="M8" s="59" t="s">
        <v>5</v>
      </c>
      <c r="N8" s="60" t="s">
        <v>6</v>
      </c>
      <c r="O8" s="19"/>
    </row>
    <row r="9" spans="1:15" ht="30" customHeight="1" x14ac:dyDescent="0.25">
      <c r="A9" s="18"/>
      <c r="B9" s="52">
        <v>1</v>
      </c>
      <c r="C9" s="23">
        <v>46054</v>
      </c>
      <c r="D9" s="20"/>
      <c r="E9" s="21"/>
      <c r="F9" s="49"/>
      <c r="G9" s="22"/>
      <c r="H9" s="30"/>
      <c r="I9" s="52">
        <v>1</v>
      </c>
      <c r="J9" s="54"/>
      <c r="K9" s="20"/>
      <c r="L9" s="21"/>
      <c r="M9" s="49"/>
      <c r="N9" s="22"/>
      <c r="O9" s="31"/>
    </row>
    <row r="10" spans="1:15" ht="30" customHeight="1" x14ac:dyDescent="0.25">
      <c r="A10" s="18"/>
      <c r="B10" s="52">
        <v>2</v>
      </c>
      <c r="C10" s="23"/>
      <c r="D10" s="20"/>
      <c r="E10" s="21"/>
      <c r="F10" s="49"/>
      <c r="G10" s="22"/>
      <c r="H10" s="30"/>
      <c r="I10" s="52">
        <v>2</v>
      </c>
      <c r="J10" s="50"/>
      <c r="K10" s="20"/>
      <c r="L10" s="21"/>
      <c r="M10" s="49"/>
      <c r="N10" s="25"/>
      <c r="O10" s="31"/>
    </row>
    <row r="11" spans="1:15" ht="30" customHeight="1" x14ac:dyDescent="0.25">
      <c r="A11" s="18"/>
      <c r="B11" s="52">
        <v>3</v>
      </c>
      <c r="C11" s="24"/>
      <c r="D11" s="20"/>
      <c r="E11" s="21"/>
      <c r="F11" s="49"/>
      <c r="G11" s="22"/>
      <c r="H11" s="30"/>
      <c r="I11" s="52">
        <v>3</v>
      </c>
      <c r="J11" s="50"/>
      <c r="K11" s="20"/>
      <c r="L11" s="21"/>
      <c r="M11" s="49"/>
      <c r="N11" s="25"/>
      <c r="O11" s="31"/>
    </row>
    <row r="12" spans="1:15" ht="30" customHeight="1" x14ac:dyDescent="0.25">
      <c r="A12" s="18"/>
      <c r="B12" s="52">
        <v>4</v>
      </c>
      <c r="C12" s="24"/>
      <c r="D12" s="20"/>
      <c r="E12" s="21"/>
      <c r="F12" s="49"/>
      <c r="G12" s="22"/>
      <c r="H12" s="30"/>
      <c r="I12" s="52">
        <v>4</v>
      </c>
      <c r="J12" s="50"/>
      <c r="K12" s="20"/>
      <c r="L12" s="21"/>
      <c r="M12" s="49"/>
      <c r="N12" s="25"/>
      <c r="O12" s="31"/>
    </row>
    <row r="13" spans="1:15" ht="30" customHeight="1" x14ac:dyDescent="0.25">
      <c r="A13" s="18"/>
      <c r="B13" s="52">
        <v>5</v>
      </c>
      <c r="C13" s="24"/>
      <c r="D13" s="20"/>
      <c r="E13" s="21"/>
      <c r="F13" s="49"/>
      <c r="G13" s="22"/>
      <c r="H13" s="30"/>
      <c r="I13" s="52">
        <v>5</v>
      </c>
      <c r="J13" s="50"/>
      <c r="K13" s="20"/>
      <c r="L13" s="21"/>
      <c r="M13" s="49"/>
      <c r="N13" s="25"/>
      <c r="O13" s="31"/>
    </row>
    <row r="14" spans="1:15" ht="30" customHeight="1" x14ac:dyDescent="0.25">
      <c r="A14" s="18"/>
      <c r="B14" s="52">
        <v>6</v>
      </c>
      <c r="C14" s="24"/>
      <c r="D14" s="20"/>
      <c r="E14" s="21"/>
      <c r="F14" s="49"/>
      <c r="G14" s="22"/>
      <c r="H14" s="30"/>
      <c r="I14" s="52">
        <v>6</v>
      </c>
      <c r="J14" s="50"/>
      <c r="K14" s="20"/>
      <c r="L14" s="21"/>
      <c r="M14" s="49"/>
      <c r="N14" s="25"/>
      <c r="O14" s="31"/>
    </row>
    <row r="15" spans="1:15" ht="30" customHeight="1" x14ac:dyDescent="0.25">
      <c r="A15" s="18"/>
      <c r="B15" s="52">
        <v>7</v>
      </c>
      <c r="C15" s="24"/>
      <c r="D15" s="20"/>
      <c r="E15" s="21"/>
      <c r="F15" s="49"/>
      <c r="G15" s="22"/>
      <c r="H15" s="30"/>
      <c r="I15" s="52">
        <v>7</v>
      </c>
      <c r="J15" s="50"/>
      <c r="K15" s="20"/>
      <c r="L15" s="21"/>
      <c r="M15" s="49"/>
      <c r="N15" s="25"/>
      <c r="O15" s="31"/>
    </row>
    <row r="16" spans="1:15" ht="30" customHeight="1" x14ac:dyDescent="0.25">
      <c r="A16" s="18"/>
      <c r="B16" s="52">
        <v>8</v>
      </c>
      <c r="C16" s="24"/>
      <c r="D16" s="20"/>
      <c r="E16" s="21"/>
      <c r="F16" s="49"/>
      <c r="G16" s="22"/>
      <c r="H16" s="30"/>
      <c r="I16" s="52">
        <v>8</v>
      </c>
      <c r="J16" s="50"/>
      <c r="K16" s="20"/>
      <c r="L16" s="21"/>
      <c r="M16" s="49"/>
      <c r="N16" s="25"/>
      <c r="O16" s="31"/>
    </row>
    <row r="17" spans="1:15" ht="30" customHeight="1" x14ac:dyDescent="0.25">
      <c r="A17" s="18"/>
      <c r="B17" s="52">
        <v>9</v>
      </c>
      <c r="C17" s="24"/>
      <c r="D17" s="20"/>
      <c r="E17" s="21"/>
      <c r="F17" s="49"/>
      <c r="G17" s="22"/>
      <c r="H17" s="30"/>
      <c r="I17" s="52">
        <v>9</v>
      </c>
      <c r="J17" s="50"/>
      <c r="K17" s="20"/>
      <c r="L17" s="21"/>
      <c r="M17" s="49"/>
      <c r="N17" s="25"/>
      <c r="O17" s="31"/>
    </row>
    <row r="18" spans="1:15" ht="30" customHeight="1" x14ac:dyDescent="0.25">
      <c r="A18" s="18"/>
      <c r="B18" s="52">
        <v>10</v>
      </c>
      <c r="C18" s="24"/>
      <c r="D18" s="20"/>
      <c r="E18" s="21"/>
      <c r="F18" s="49"/>
      <c r="G18" s="22"/>
      <c r="H18" s="30"/>
      <c r="I18" s="52">
        <v>10</v>
      </c>
      <c r="J18" s="50"/>
      <c r="K18" s="20"/>
      <c r="L18" s="21"/>
      <c r="M18" s="49"/>
      <c r="N18" s="25"/>
      <c r="O18" s="30"/>
    </row>
    <row r="19" spans="1:15" ht="30" customHeight="1" x14ac:dyDescent="0.25">
      <c r="A19" s="18"/>
      <c r="B19" s="52">
        <v>11</v>
      </c>
      <c r="C19" s="24"/>
      <c r="D19" s="20"/>
      <c r="E19" s="21"/>
      <c r="F19" s="49"/>
      <c r="G19" s="22"/>
      <c r="H19" s="30"/>
      <c r="I19" s="52">
        <v>11</v>
      </c>
      <c r="J19" s="50"/>
      <c r="K19" s="20"/>
      <c r="L19" s="21"/>
      <c r="M19" s="49"/>
      <c r="N19" s="25"/>
      <c r="O19" s="30"/>
    </row>
    <row r="20" spans="1:15" ht="30" customHeight="1" x14ac:dyDescent="0.25">
      <c r="A20" s="18"/>
      <c r="B20" s="52">
        <v>12</v>
      </c>
      <c r="C20" s="24"/>
      <c r="D20" s="20"/>
      <c r="E20" s="21"/>
      <c r="F20" s="49"/>
      <c r="G20" s="22"/>
      <c r="H20" s="30"/>
      <c r="I20" s="52">
        <v>12</v>
      </c>
      <c r="J20" s="50"/>
      <c r="K20" s="20"/>
      <c r="L20" s="21"/>
      <c r="M20" s="49"/>
      <c r="N20" s="25"/>
      <c r="O20" s="30"/>
    </row>
    <row r="21" spans="1:15" ht="30" customHeight="1" x14ac:dyDescent="0.25">
      <c r="A21" s="18"/>
      <c r="B21" s="52">
        <v>13</v>
      </c>
      <c r="C21" s="24"/>
      <c r="D21" s="20"/>
      <c r="E21" s="21"/>
      <c r="F21" s="49"/>
      <c r="G21" s="22"/>
      <c r="H21" s="30"/>
      <c r="I21" s="52">
        <v>13</v>
      </c>
      <c r="J21" s="50"/>
      <c r="K21" s="20"/>
      <c r="L21" s="21"/>
      <c r="M21" s="49"/>
      <c r="N21" s="25"/>
      <c r="O21" s="30"/>
    </row>
    <row r="22" spans="1:15" ht="30" customHeight="1" x14ac:dyDescent="0.25">
      <c r="A22" s="18"/>
      <c r="B22" s="53">
        <v>14</v>
      </c>
      <c r="C22" s="26"/>
      <c r="D22" s="20"/>
      <c r="E22" s="21"/>
      <c r="F22" s="49"/>
      <c r="G22" s="22"/>
      <c r="H22" s="30"/>
      <c r="I22" s="53">
        <v>14</v>
      </c>
      <c r="J22" s="55"/>
      <c r="K22" s="20"/>
      <c r="L22" s="21"/>
      <c r="M22" s="49"/>
      <c r="N22" s="27"/>
      <c r="O22" s="30"/>
    </row>
    <row r="23" spans="1:15" ht="30" customHeight="1" x14ac:dyDescent="0.25">
      <c r="A23" s="18"/>
      <c r="B23" s="52">
        <v>15</v>
      </c>
      <c r="C23" s="24"/>
      <c r="D23" s="24"/>
      <c r="E23" s="21"/>
      <c r="F23" s="49"/>
      <c r="G23" s="22"/>
      <c r="H23" s="30"/>
      <c r="I23" s="52">
        <v>15</v>
      </c>
      <c r="J23" s="50"/>
      <c r="K23" s="20"/>
      <c r="L23" s="21"/>
      <c r="M23" s="49"/>
      <c r="N23" s="25"/>
      <c r="O23" s="30"/>
    </row>
    <row r="24" spans="1:15" ht="30" customHeight="1" x14ac:dyDescent="0.25">
      <c r="A24" s="18"/>
      <c r="B24" s="52">
        <v>16</v>
      </c>
      <c r="C24" s="24"/>
      <c r="D24" s="28"/>
      <c r="E24" s="21"/>
      <c r="F24" s="49"/>
      <c r="G24" s="22"/>
      <c r="H24" s="30"/>
      <c r="I24" s="52">
        <v>16</v>
      </c>
      <c r="J24" s="50"/>
      <c r="K24" s="20"/>
      <c r="L24" s="21"/>
      <c r="M24" s="49"/>
      <c r="N24" s="25"/>
      <c r="O24" s="30"/>
    </row>
    <row r="25" spans="1:15" ht="30" customHeight="1" x14ac:dyDescent="0.25">
      <c r="A25" s="18"/>
      <c r="B25" s="52">
        <v>17</v>
      </c>
      <c r="C25" s="24"/>
      <c r="D25" s="28"/>
      <c r="E25" s="21"/>
      <c r="F25" s="49"/>
      <c r="G25" s="22"/>
      <c r="H25" s="30"/>
      <c r="I25" s="52">
        <v>17</v>
      </c>
      <c r="J25" s="50"/>
      <c r="K25" s="20"/>
      <c r="L25" s="21"/>
      <c r="M25" s="49"/>
      <c r="N25" s="25"/>
      <c r="O25" s="30"/>
    </row>
    <row r="26" spans="1:15" ht="30" customHeight="1" x14ac:dyDescent="0.25">
      <c r="A26" s="18"/>
      <c r="B26" s="52">
        <v>18</v>
      </c>
      <c r="C26" s="24"/>
      <c r="D26" s="28"/>
      <c r="E26" s="21"/>
      <c r="F26" s="49"/>
      <c r="G26" s="22"/>
      <c r="H26" s="30"/>
      <c r="I26" s="52">
        <v>18</v>
      </c>
      <c r="J26" s="50"/>
      <c r="K26" s="20"/>
      <c r="L26" s="21"/>
      <c r="M26" s="49"/>
      <c r="N26" s="25"/>
      <c r="O26" s="30"/>
    </row>
    <row r="27" spans="1:15" ht="30" customHeight="1" x14ac:dyDescent="0.25">
      <c r="A27" s="18"/>
      <c r="B27" s="53">
        <v>19</v>
      </c>
      <c r="C27" s="32"/>
      <c r="D27" s="24"/>
      <c r="E27" s="21"/>
      <c r="F27" s="49"/>
      <c r="G27" s="22"/>
      <c r="H27" s="33"/>
      <c r="I27" s="53">
        <v>19</v>
      </c>
      <c r="J27" s="55"/>
      <c r="K27" s="20"/>
      <c r="L27" s="21"/>
      <c r="M27" s="49"/>
      <c r="N27" s="27"/>
      <c r="O27" s="30"/>
    </row>
    <row r="28" spans="1:15" ht="30" customHeight="1" x14ac:dyDescent="0.25">
      <c r="A28" s="18"/>
      <c r="B28" s="52">
        <v>20</v>
      </c>
      <c r="C28" s="24"/>
      <c r="D28" s="24"/>
      <c r="E28" s="21"/>
      <c r="F28" s="49"/>
      <c r="G28" s="22"/>
      <c r="H28" s="33"/>
      <c r="I28" s="52">
        <v>20</v>
      </c>
      <c r="J28" s="50"/>
      <c r="K28" s="20"/>
      <c r="L28" s="21"/>
      <c r="M28" s="49"/>
      <c r="N28" s="25"/>
      <c r="O28" s="30"/>
    </row>
    <row r="29" spans="1:15" ht="30" customHeight="1" x14ac:dyDescent="0.25">
      <c r="A29" s="18"/>
      <c r="B29" s="52">
        <v>21</v>
      </c>
      <c r="C29" s="26"/>
      <c r="D29" s="29"/>
      <c r="E29" s="21"/>
      <c r="F29" s="49"/>
      <c r="G29" s="22"/>
      <c r="H29" s="30"/>
      <c r="I29" s="52">
        <v>21</v>
      </c>
      <c r="J29" s="50"/>
      <c r="K29" s="20"/>
      <c r="L29" s="21"/>
      <c r="M29" s="49"/>
      <c r="N29" s="25"/>
      <c r="O29" s="30"/>
    </row>
    <row r="30" spans="1:15" ht="18" customHeight="1" x14ac:dyDescent="0.25">
      <c r="A30" s="18"/>
      <c r="B30" s="68" t="s">
        <v>12</v>
      </c>
      <c r="C30" s="68"/>
      <c r="D30" s="68"/>
      <c r="E30" s="68"/>
      <c r="F30" s="68"/>
      <c r="G30" s="34">
        <f>SUBTOTAL(109,tblRevenue[[Amount ]])</f>
        <v>0</v>
      </c>
      <c r="H30" s="30"/>
      <c r="I30" s="69" t="s">
        <v>13</v>
      </c>
      <c r="J30" s="69"/>
      <c r="K30" s="69"/>
      <c r="L30" s="69"/>
      <c r="M30" s="69"/>
      <c r="N30" s="34">
        <f>SUM(N9:N29)</f>
        <v>0</v>
      </c>
      <c r="O30" s="30"/>
    </row>
    <row r="31" spans="1:15" ht="18" customHeight="1" x14ac:dyDescent="0.25">
      <c r="A31" s="18"/>
      <c r="B31" s="35"/>
      <c r="C31" s="36"/>
      <c r="D31" s="37"/>
      <c r="E31" s="37"/>
      <c r="F31" s="37"/>
      <c r="G31" s="30"/>
      <c r="H31" s="30"/>
      <c r="I31" s="30"/>
      <c r="J31" s="30"/>
      <c r="K31" s="30"/>
      <c r="L31" s="30"/>
      <c r="M31" s="30"/>
      <c r="N31" s="30"/>
      <c r="O31" s="30"/>
    </row>
    <row r="32" spans="1:15" ht="18" customHeight="1" x14ac:dyDescent="0.25">
      <c r="A32" s="18"/>
      <c r="B32" s="35"/>
      <c r="C32" s="37"/>
      <c r="D32" s="37"/>
      <c r="E32" s="37"/>
      <c r="F32" s="37"/>
      <c r="G32" s="30"/>
      <c r="H32" s="30"/>
      <c r="I32" s="30"/>
      <c r="J32" s="30"/>
      <c r="K32" s="30"/>
      <c r="L32" s="30"/>
      <c r="M32" s="30"/>
      <c r="N32" s="30"/>
      <c r="O32" s="30"/>
    </row>
    <row r="33" spans="1:15" ht="18" customHeight="1" x14ac:dyDescent="0.25">
      <c r="A33" s="18"/>
      <c r="B33" s="35"/>
      <c r="C33" s="37"/>
      <c r="D33" s="37"/>
      <c r="E33" s="37"/>
      <c r="F33" s="37"/>
      <c r="G33" s="30"/>
      <c r="H33" s="30"/>
      <c r="I33" s="30"/>
      <c r="J33" s="30"/>
      <c r="K33" s="30"/>
      <c r="L33" s="30"/>
      <c r="M33" s="30"/>
      <c r="N33" s="30"/>
      <c r="O33" s="30"/>
    </row>
    <row r="34" spans="1:15" ht="18" customHeight="1" x14ac:dyDescent="0.25">
      <c r="A34" s="18"/>
      <c r="B34" s="35"/>
      <c r="C34" s="36"/>
      <c r="D34" s="37"/>
      <c r="E34" s="37"/>
      <c r="F34" s="37"/>
      <c r="G34" s="30"/>
      <c r="H34" s="30"/>
      <c r="I34" s="30"/>
      <c r="J34" s="30"/>
      <c r="K34" s="30"/>
      <c r="L34" s="30"/>
      <c r="M34" s="30"/>
      <c r="N34" s="30"/>
      <c r="O34" s="30"/>
    </row>
    <row r="35" spans="1:15" ht="18" customHeight="1" x14ac:dyDescent="0.25">
      <c r="A35" s="18"/>
      <c r="B35" s="35"/>
      <c r="C35" s="36"/>
      <c r="D35" s="37"/>
      <c r="E35" s="37"/>
      <c r="F35" s="37"/>
      <c r="G35" s="30"/>
      <c r="H35" s="30"/>
      <c r="I35" s="30"/>
      <c r="J35" s="30"/>
      <c r="K35" s="30"/>
      <c r="L35" s="30"/>
      <c r="M35" s="30"/>
      <c r="N35" s="30"/>
      <c r="O35" s="30"/>
    </row>
    <row r="36" spans="1:15" ht="18" customHeight="1" x14ac:dyDescent="0.25">
      <c r="A36" s="18"/>
      <c r="B36" s="35"/>
      <c r="C36" s="36"/>
      <c r="D36" s="37"/>
      <c r="E36" s="37"/>
      <c r="F36" s="37"/>
      <c r="G36" s="30"/>
      <c r="H36" s="30"/>
      <c r="I36" s="30"/>
      <c r="J36" s="30"/>
      <c r="K36" s="30"/>
      <c r="L36" s="30"/>
      <c r="M36" s="30"/>
      <c r="N36" s="30"/>
      <c r="O36" s="30"/>
    </row>
    <row r="37" spans="1:15" ht="18" customHeight="1" x14ac:dyDescent="0.25">
      <c r="A37" s="18"/>
      <c r="B37" s="35"/>
      <c r="C37" s="36"/>
      <c r="D37" s="37"/>
      <c r="E37" s="37"/>
      <c r="F37" s="37"/>
      <c r="G37" s="37"/>
      <c r="H37" s="37"/>
      <c r="I37" s="65" t="s">
        <v>27</v>
      </c>
      <c r="J37" s="65"/>
      <c r="K37" s="65"/>
      <c r="L37" s="65"/>
      <c r="M37" s="65"/>
      <c r="N37" s="65"/>
      <c r="O37" s="30"/>
    </row>
    <row r="38" spans="1:15" ht="18" customHeight="1" x14ac:dyDescent="0.25">
      <c r="A38" s="18"/>
      <c r="B38" s="35"/>
      <c r="C38" s="35"/>
      <c r="D38" s="37"/>
      <c r="E38" s="37"/>
      <c r="F38" s="37"/>
      <c r="G38" s="37"/>
      <c r="H38" s="37"/>
      <c r="I38" s="65"/>
      <c r="J38" s="65"/>
      <c r="K38" s="65"/>
      <c r="L38" s="65"/>
      <c r="M38" s="65"/>
      <c r="N38" s="65"/>
      <c r="O38" s="30"/>
    </row>
    <row r="39" spans="1:15" ht="18" customHeight="1" x14ac:dyDescent="0.25">
      <c r="A39" s="18"/>
      <c r="B39" s="35"/>
      <c r="C39" s="35"/>
      <c r="D39" s="37"/>
      <c r="E39" s="37"/>
      <c r="F39" s="37"/>
      <c r="G39" s="37"/>
      <c r="H39" s="37"/>
      <c r="I39" s="66"/>
      <c r="J39" s="66"/>
      <c r="K39" s="66"/>
      <c r="L39" s="66"/>
      <c r="M39" s="66"/>
      <c r="N39" s="66"/>
      <c r="O39" s="30"/>
    </row>
    <row r="40" spans="1:15" ht="31.5" customHeight="1" x14ac:dyDescent="0.25">
      <c r="A40" s="18"/>
      <c r="B40" s="35"/>
      <c r="C40" s="35"/>
      <c r="D40" s="37"/>
      <c r="E40" s="37"/>
      <c r="F40" s="37"/>
      <c r="G40" s="37"/>
      <c r="H40" s="37"/>
      <c r="I40" s="74" t="s">
        <v>22</v>
      </c>
      <c r="J40" s="75"/>
      <c r="K40" s="75"/>
      <c r="L40" s="76"/>
      <c r="M40" s="74" t="s">
        <v>23</v>
      </c>
      <c r="N40" s="76"/>
      <c r="O40" s="30"/>
    </row>
    <row r="41" spans="1:15" ht="18" customHeight="1" x14ac:dyDescent="0.25">
      <c r="A41" s="18"/>
      <c r="B41" s="35"/>
      <c r="C41" s="35"/>
      <c r="D41" s="37"/>
      <c r="E41" s="37"/>
      <c r="F41" s="37"/>
      <c r="G41" s="37"/>
      <c r="H41" s="37"/>
      <c r="I41" s="78" t="s">
        <v>24</v>
      </c>
      <c r="J41" s="79"/>
      <c r="K41" s="79"/>
      <c r="L41" s="80"/>
      <c r="M41" s="85">
        <f>G30</f>
        <v>0</v>
      </c>
      <c r="N41" s="86"/>
      <c r="O41" s="30"/>
    </row>
    <row r="42" spans="1:15" ht="18" customHeight="1" x14ac:dyDescent="0.25">
      <c r="A42" s="18"/>
      <c r="B42" s="35"/>
      <c r="C42" s="35"/>
      <c r="D42" s="37"/>
      <c r="E42" s="37"/>
      <c r="F42" s="37"/>
      <c r="G42" s="37"/>
      <c r="H42" s="37"/>
      <c r="I42" s="78" t="s">
        <v>25</v>
      </c>
      <c r="J42" s="79"/>
      <c r="K42" s="79"/>
      <c r="L42" s="80"/>
      <c r="M42" s="85">
        <f>N30</f>
        <v>0</v>
      </c>
      <c r="N42" s="86"/>
      <c r="O42" s="30"/>
    </row>
    <row r="43" spans="1:15" ht="18" customHeight="1" x14ac:dyDescent="0.25">
      <c r="A43" s="18"/>
      <c r="B43" s="35"/>
      <c r="C43" s="35"/>
      <c r="D43" s="37"/>
      <c r="E43" s="37"/>
      <c r="F43" s="37"/>
      <c r="G43" s="37"/>
      <c r="H43" s="37"/>
      <c r="I43" s="81" t="s">
        <v>26</v>
      </c>
      <c r="J43" s="82"/>
      <c r="K43" s="82"/>
      <c r="L43" s="83"/>
      <c r="M43" s="87">
        <f>L2</f>
        <v>0</v>
      </c>
      <c r="N43" s="88"/>
      <c r="O43" s="30"/>
    </row>
    <row r="44" spans="1:15" ht="18" customHeight="1" x14ac:dyDescent="0.25">
      <c r="A44" s="18"/>
      <c r="B44" s="35"/>
      <c r="C44" s="62"/>
      <c r="D44" s="62"/>
      <c r="E44" s="37"/>
      <c r="F44" s="30"/>
      <c r="G44" s="30"/>
      <c r="H44" s="30"/>
      <c r="I44" s="63" t="s">
        <v>29</v>
      </c>
      <c r="J44" s="63"/>
      <c r="K44" s="63"/>
      <c r="L44" s="63"/>
      <c r="M44" s="73">
        <f>IF(M41=0,0,(M41-M42)/M41)</f>
        <v>0</v>
      </c>
      <c r="N44" s="73"/>
      <c r="O44" s="30"/>
    </row>
    <row r="45" spans="1:15" ht="18" customHeight="1" x14ac:dyDescent="0.25">
      <c r="A45" s="18"/>
      <c r="B45" s="35"/>
      <c r="C45" s="47"/>
      <c r="D45" s="47"/>
      <c r="E45" s="37"/>
      <c r="F45" s="30"/>
      <c r="G45" s="30"/>
      <c r="H45" s="30"/>
      <c r="I45" s="48"/>
      <c r="J45" s="48"/>
      <c r="K45" s="48"/>
      <c r="L45" s="48"/>
      <c r="M45" s="30"/>
      <c r="N45" s="30"/>
      <c r="O45" s="30"/>
    </row>
    <row r="46" spans="1:15" ht="18" customHeight="1" x14ac:dyDescent="0.25">
      <c r="A46" s="18"/>
      <c r="B46" s="35"/>
      <c r="C46" s="62"/>
      <c r="D46" s="62"/>
      <c r="E46" s="37"/>
      <c r="F46" s="30"/>
      <c r="G46" s="30"/>
      <c r="H46" s="30"/>
      <c r="I46" s="30"/>
      <c r="J46" s="30"/>
      <c r="K46" s="67" t="s">
        <v>20</v>
      </c>
      <c r="L46" s="67"/>
      <c r="M46" s="67"/>
      <c r="N46" s="67"/>
      <c r="O46" s="30"/>
    </row>
    <row r="47" spans="1:15" ht="18" customHeight="1" x14ac:dyDescent="0.25">
      <c r="A47" s="18"/>
      <c r="B47" s="35"/>
      <c r="C47" s="47"/>
      <c r="D47" s="47"/>
      <c r="E47" s="37"/>
      <c r="F47" s="30"/>
      <c r="G47" s="30"/>
      <c r="H47" s="30"/>
      <c r="I47" s="30"/>
      <c r="J47" s="30"/>
      <c r="K47" s="67"/>
      <c r="L47" s="67"/>
      <c r="M47" s="67"/>
      <c r="N47" s="67"/>
      <c r="O47" s="30"/>
    </row>
    <row r="48" spans="1:15" ht="18" customHeight="1" x14ac:dyDescent="0.25">
      <c r="A48" s="18"/>
      <c r="B48" s="35"/>
      <c r="C48" s="62"/>
      <c r="D48" s="62"/>
      <c r="E48" s="37"/>
      <c r="F48" s="30"/>
      <c r="G48" s="30"/>
      <c r="H48" s="30"/>
      <c r="I48" s="30"/>
      <c r="J48" s="30"/>
      <c r="K48" s="67"/>
      <c r="L48" s="67"/>
      <c r="M48" s="67"/>
      <c r="N48" s="67"/>
      <c r="O48" s="30"/>
    </row>
    <row r="49" spans="1:15" ht="18" customHeight="1" x14ac:dyDescent="0.25">
      <c r="A49" s="18"/>
      <c r="B49" s="35"/>
      <c r="C49" s="36"/>
      <c r="D49" s="37"/>
      <c r="E49" s="37"/>
      <c r="F49" s="30"/>
      <c r="G49" s="30"/>
      <c r="H49" s="30"/>
      <c r="I49" s="30"/>
      <c r="J49" s="30"/>
      <c r="K49" s="67"/>
      <c r="L49" s="67"/>
      <c r="M49" s="67"/>
      <c r="N49" s="67"/>
      <c r="O49" s="30"/>
    </row>
    <row r="50" spans="1:15" ht="18" customHeight="1" x14ac:dyDescent="0.25">
      <c r="A50" s="18"/>
      <c r="B50" s="35"/>
      <c r="C50" s="36"/>
      <c r="D50" s="37"/>
      <c r="E50" s="37"/>
      <c r="F50" s="30"/>
      <c r="G50" s="30"/>
      <c r="H50" s="30"/>
      <c r="I50" s="30"/>
      <c r="J50" s="30"/>
      <c r="K50" s="42" t="s">
        <v>3</v>
      </c>
      <c r="L50" s="43" t="s">
        <v>18</v>
      </c>
      <c r="M50" s="43" t="s">
        <v>21</v>
      </c>
      <c r="N50" s="43" t="s">
        <v>19</v>
      </c>
      <c r="O50" s="30"/>
    </row>
    <row r="51" spans="1:15" ht="18" customHeight="1" x14ac:dyDescent="0.25">
      <c r="A51" s="18"/>
      <c r="B51" s="35"/>
      <c r="C51" s="36"/>
      <c r="D51" s="37"/>
      <c r="E51" s="37"/>
      <c r="F51" s="30"/>
      <c r="G51" s="30"/>
      <c r="H51" s="30"/>
      <c r="I51" s="30"/>
      <c r="J51" s="30"/>
      <c r="K51" s="45" t="s">
        <v>31</v>
      </c>
      <c r="L51" s="46">
        <f>SUMIFS(G9:G29, tblRevenue[Project], $K51)</f>
        <v>0</v>
      </c>
      <c r="M51" s="46">
        <f>SUMIFS(tblExpense[[Amount ]],tblExpense[Project],  $K51)</f>
        <v>0</v>
      </c>
      <c r="N51" s="46">
        <f>L51-M51</f>
        <v>0</v>
      </c>
      <c r="O51" s="30"/>
    </row>
    <row r="52" spans="1:15" ht="18" customHeight="1" x14ac:dyDescent="0.25">
      <c r="A52" s="18"/>
      <c r="B52" s="35"/>
      <c r="C52" s="36"/>
      <c r="D52" s="37"/>
      <c r="E52" s="37"/>
      <c r="F52" s="30"/>
      <c r="G52" s="30"/>
      <c r="H52" s="30"/>
      <c r="I52" s="30"/>
      <c r="J52" s="30"/>
      <c r="K52" s="45" t="s">
        <v>67</v>
      </c>
      <c r="L52" s="46">
        <f>SUMIFS(G9:G29, tblRevenue[Project], $K52)</f>
        <v>0</v>
      </c>
      <c r="M52" s="46">
        <f>SUMIFS(tblExpense[[Amount ]],tblExpense[Project],  $K52)</f>
        <v>0</v>
      </c>
      <c r="N52" s="46">
        <f>L52-M52</f>
        <v>0</v>
      </c>
      <c r="O52" s="30"/>
    </row>
    <row r="53" spans="1:15" ht="18" customHeight="1" x14ac:dyDescent="0.25">
      <c r="B53" s="38"/>
      <c r="C53" s="39"/>
      <c r="D53" s="40"/>
      <c r="E53" s="40"/>
      <c r="F53" s="41"/>
      <c r="G53" s="41"/>
      <c r="H53" s="41"/>
      <c r="I53" s="41"/>
      <c r="J53" s="41"/>
      <c r="K53" s="44"/>
      <c r="L53" s="44"/>
      <c r="M53" s="44"/>
      <c r="N53" s="44"/>
      <c r="O53" s="41"/>
    </row>
    <row r="54" spans="1:15" ht="18" customHeight="1" x14ac:dyDescent="0.25">
      <c r="B54" s="38"/>
      <c r="C54" s="39"/>
      <c r="D54" s="40"/>
      <c r="E54" s="40"/>
      <c r="F54" s="41"/>
      <c r="G54" s="41"/>
      <c r="H54" s="41"/>
      <c r="I54" s="41"/>
      <c r="J54" s="41"/>
      <c r="K54" s="41"/>
      <c r="L54" s="41"/>
      <c r="M54" s="41"/>
      <c r="N54" s="41"/>
      <c r="O54" s="41"/>
    </row>
    <row r="55" spans="1:15" ht="18" customHeight="1" x14ac:dyDescent="0.25">
      <c r="B55" s="38"/>
      <c r="C55" s="39"/>
      <c r="D55" s="40"/>
      <c r="E55" s="40"/>
      <c r="F55" s="41"/>
      <c r="G55" s="41"/>
      <c r="H55" s="41"/>
      <c r="I55" s="41"/>
      <c r="J55" s="41"/>
      <c r="K55" s="41"/>
      <c r="L55" s="41"/>
      <c r="M55" s="41"/>
      <c r="N55" s="41"/>
      <c r="O55" s="41"/>
    </row>
    <row r="56" spans="1:15" ht="18" customHeight="1" x14ac:dyDescent="0.25">
      <c r="B56" s="38"/>
      <c r="C56" s="39"/>
      <c r="D56" s="40"/>
      <c r="E56" s="40"/>
      <c r="F56" s="41"/>
      <c r="G56" s="41"/>
      <c r="H56" s="41"/>
      <c r="I56" s="41"/>
      <c r="J56" s="41"/>
      <c r="K56" s="41"/>
      <c r="L56" s="41"/>
      <c r="M56" s="41"/>
      <c r="N56" s="41"/>
      <c r="O56" s="41"/>
    </row>
    <row r="57" spans="1:15" ht="18" customHeight="1" x14ac:dyDescent="0.25">
      <c r="F57" s="4"/>
    </row>
    <row r="58" spans="1:15" ht="18" customHeight="1" x14ac:dyDescent="0.25">
      <c r="F58" s="4"/>
    </row>
  </sheetData>
  <mergeCells count="25">
    <mergeCell ref="I3:J3"/>
    <mergeCell ref="I42:L42"/>
    <mergeCell ref="I43:L43"/>
    <mergeCell ref="A4:M5"/>
    <mergeCell ref="M41:N41"/>
    <mergeCell ref="M42:N42"/>
    <mergeCell ref="M43:N43"/>
    <mergeCell ref="I41:L41"/>
    <mergeCell ref="M40:N40"/>
    <mergeCell ref="C44:D44"/>
    <mergeCell ref="I44:L44"/>
    <mergeCell ref="C46:D46"/>
    <mergeCell ref="C48:D48"/>
    <mergeCell ref="I2:K2"/>
    <mergeCell ref="I37:N39"/>
    <mergeCell ref="K46:N49"/>
    <mergeCell ref="B30:F30"/>
    <mergeCell ref="I30:M30"/>
    <mergeCell ref="B6:G7"/>
    <mergeCell ref="D2:H2"/>
    <mergeCell ref="D3:H3"/>
    <mergeCell ref="I6:N7"/>
    <mergeCell ref="L2:M2"/>
    <mergeCell ref="M44:N44"/>
    <mergeCell ref="I40:L40"/>
  </mergeCells>
  <conditionalFormatting sqref="L2:M2">
    <cfRule type="cellIs" dxfId="1" priority="1" operator="lessThan">
      <formula>0</formula>
    </cfRule>
    <cfRule type="cellIs" dxfId="0" priority="2" operator="greaterThan">
      <formula>0</formula>
    </cfRule>
  </conditionalFormatting>
  <dataValidations count="2">
    <dataValidation allowBlank="1" showInputMessage="1" showErrorMessage="1" prompt="Enter your Company Name and the period coverage of the Profit &amp; Loss Statement._x000a__x000a_Update Product details under Sales Revenue and Cost of Sales. Enter values in columns C, D, and E, except in the total rows.  All other cells will be auto calculated." sqref="B1" xr:uid="{AF7A2FF6-BDDE-4870-9C22-FA02D9C9CA5C}"/>
    <dataValidation allowBlank="1" showInputMessage="1" showErrorMessage="1" prompt="Enter you company name in this cell" sqref="D2" xr:uid="{F0C4E271-E54E-4716-9F76-54D743DD6869}"/>
  </dataValidations>
  <printOptions horizontalCentered="1" verticalCentered="1"/>
  <pageMargins left="0.21" right="0.2" top="0.2" bottom="0.2" header="0.3" footer="0.3"/>
  <pageSetup paperSize="9" scale="39" orientation="landscape" r:id="rId1"/>
  <drawing r:id="rId2"/>
  <tableParts count="2">
    <tablePart r:id="rId3"/>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D746C0EC-563E-40D6-9CFC-3D7669B25004}">
          <x14:formula1>
            <xm:f>Sheet1!$B$2:$B$9</xm:f>
          </x14:formula1>
          <xm:sqref>E9:E29</xm:sqref>
        </x14:dataValidation>
        <x14:dataValidation type="list" allowBlank="1" showInputMessage="1" showErrorMessage="1" xr:uid="{694CA8EE-9A4E-4D61-8C0A-82070B2F153A}">
          <x14:formula1>
            <xm:f>Sheet1!$A$2:$A$12</xm:f>
          </x14:formula1>
          <xm:sqref>K51:K52</xm:sqref>
        </x14:dataValidation>
        <x14:dataValidation type="list" allowBlank="1" showInputMessage="1" showErrorMessage="1" xr:uid="{CB111F02-8A32-4E4B-AFD9-8899E7AE2B61}">
          <x14:formula1>
            <xm:f>Sheet1!$A$2:$A$14</xm:f>
          </x14:formula1>
          <xm:sqref>K9:K29</xm:sqref>
        </x14:dataValidation>
        <x14:dataValidation type="list" allowBlank="1" showInputMessage="1" showErrorMessage="1" xr:uid="{03E4DF56-9469-4D4B-99AE-F413BE8D958C}">
          <x14:formula1>
            <xm:f>Sheet1!$A$2:$A$17</xm:f>
          </x14:formula1>
          <xm:sqref>D9:D29</xm:sqref>
        </x14:dataValidation>
        <x14:dataValidation type="list" allowBlank="1" showInputMessage="1" showErrorMessage="1" xr:uid="{ED684688-BB9F-4237-B8CF-03D0907A828E}">
          <x14:formula1>
            <xm:f>Sheet1!$C$6:$C$21</xm:f>
          </x14:formula1>
          <xm:sqref>L10:L29</xm:sqref>
        </x14:dataValidation>
        <x14:dataValidation type="list" allowBlank="1" showInputMessage="1" showErrorMessage="1" xr:uid="{6D1365CA-5EBC-4BE3-81BB-51E10A59B278}">
          <x14:formula1>
            <xm:f>Sheet1!$C$2:$C$29</xm:f>
          </x14:formula1>
          <xm:sqref>L9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7E35-1ADA-4688-8BB3-93FEF8DB38AB}">
  <sheetPr codeName="Sheet2"/>
  <dimension ref="A1:C29"/>
  <sheetViews>
    <sheetView workbookViewId="0">
      <selection activeCell="F14" sqref="F14"/>
    </sheetView>
  </sheetViews>
  <sheetFormatPr defaultRowHeight="15" x14ac:dyDescent="0.25"/>
  <cols>
    <col min="1" max="1" width="14.109375" bestFit="1" customWidth="1"/>
    <col min="2" max="2" width="25.44140625" bestFit="1" customWidth="1"/>
    <col min="3" max="3" width="26.44140625" bestFit="1" customWidth="1"/>
  </cols>
  <sheetData>
    <row r="1" spans="1:3" ht="15.75" x14ac:dyDescent="0.3">
      <c r="A1" s="51" t="s">
        <v>14</v>
      </c>
      <c r="B1" s="51" t="s">
        <v>4</v>
      </c>
      <c r="C1" s="51" t="s">
        <v>10</v>
      </c>
    </row>
    <row r="2" spans="1:3" x14ac:dyDescent="0.25">
      <c r="A2" t="s">
        <v>15</v>
      </c>
      <c r="B2" t="s">
        <v>62</v>
      </c>
      <c r="C2" t="s">
        <v>58</v>
      </c>
    </row>
    <row r="3" spans="1:3" x14ac:dyDescent="0.25">
      <c r="A3" t="s">
        <v>16</v>
      </c>
      <c r="B3" t="s">
        <v>63</v>
      </c>
      <c r="C3" t="s">
        <v>59</v>
      </c>
    </row>
    <row r="4" spans="1:3" x14ac:dyDescent="0.25">
      <c r="A4" t="s">
        <v>28</v>
      </c>
      <c r="B4" t="s">
        <v>64</v>
      </c>
      <c r="C4" t="s">
        <v>60</v>
      </c>
    </row>
    <row r="5" spans="1:3" x14ac:dyDescent="0.25">
      <c r="A5" t="s">
        <v>31</v>
      </c>
      <c r="B5" t="s">
        <v>65</v>
      </c>
      <c r="C5" t="s">
        <v>61</v>
      </c>
    </row>
    <row r="6" spans="1:3" x14ac:dyDescent="0.25">
      <c r="A6" t="s">
        <v>32</v>
      </c>
      <c r="B6" t="s">
        <v>66</v>
      </c>
      <c r="C6" t="s">
        <v>9</v>
      </c>
    </row>
    <row r="7" spans="1:3" x14ac:dyDescent="0.25">
      <c r="A7" t="s">
        <v>33</v>
      </c>
      <c r="B7" t="s">
        <v>55</v>
      </c>
      <c r="C7" t="s">
        <v>17</v>
      </c>
    </row>
    <row r="8" spans="1:3" x14ac:dyDescent="0.25">
      <c r="A8" t="s">
        <v>68</v>
      </c>
      <c r="B8" t="s">
        <v>56</v>
      </c>
      <c r="C8" t="s">
        <v>34</v>
      </c>
    </row>
    <row r="9" spans="1:3" x14ac:dyDescent="0.25">
      <c r="A9" t="s">
        <v>67</v>
      </c>
      <c r="B9" t="s">
        <v>57</v>
      </c>
      <c r="C9" t="s">
        <v>35</v>
      </c>
    </row>
    <row r="10" spans="1:3" x14ac:dyDescent="0.25">
      <c r="C10" t="s">
        <v>36</v>
      </c>
    </row>
    <row r="11" spans="1:3" x14ac:dyDescent="0.25">
      <c r="C11" t="s">
        <v>37</v>
      </c>
    </row>
    <row r="12" spans="1:3" x14ac:dyDescent="0.25">
      <c r="C12" t="s">
        <v>38</v>
      </c>
    </row>
    <row r="13" spans="1:3" x14ac:dyDescent="0.25">
      <c r="C13" t="s">
        <v>39</v>
      </c>
    </row>
    <row r="14" spans="1:3" x14ac:dyDescent="0.25">
      <c r="C14" t="s">
        <v>40</v>
      </c>
    </row>
    <row r="15" spans="1:3" x14ac:dyDescent="0.25">
      <c r="C15" t="s">
        <v>41</v>
      </c>
    </row>
    <row r="16" spans="1:3" x14ac:dyDescent="0.25">
      <c r="C16" t="s">
        <v>42</v>
      </c>
    </row>
    <row r="17" spans="3:3" x14ac:dyDescent="0.25">
      <c r="C17" t="s">
        <v>43</v>
      </c>
    </row>
    <row r="18" spans="3:3" x14ac:dyDescent="0.25">
      <c r="C18" t="s">
        <v>44</v>
      </c>
    </row>
    <row r="19" spans="3:3" x14ac:dyDescent="0.25">
      <c r="C19" t="s">
        <v>45</v>
      </c>
    </row>
    <row r="20" spans="3:3" x14ac:dyDescent="0.25">
      <c r="C20" t="s">
        <v>46</v>
      </c>
    </row>
    <row r="21" spans="3:3" x14ac:dyDescent="0.25">
      <c r="C21" t="s">
        <v>47</v>
      </c>
    </row>
    <row r="22" spans="3:3" x14ac:dyDescent="0.25">
      <c r="C22" t="s">
        <v>48</v>
      </c>
    </row>
    <row r="23" spans="3:3" x14ac:dyDescent="0.25">
      <c r="C23" t="s">
        <v>49</v>
      </c>
    </row>
    <row r="24" spans="3:3" x14ac:dyDescent="0.25">
      <c r="C24" t="s">
        <v>50</v>
      </c>
    </row>
    <row r="25" spans="3:3" x14ac:dyDescent="0.25">
      <c r="C25" t="s">
        <v>51</v>
      </c>
    </row>
    <row r="26" spans="3:3" x14ac:dyDescent="0.25">
      <c r="C26" t="s">
        <v>52</v>
      </c>
    </row>
    <row r="27" spans="3:3" x14ac:dyDescent="0.25">
      <c r="C27" t="s">
        <v>53</v>
      </c>
    </row>
    <row r="28" spans="3:3" x14ac:dyDescent="0.25">
      <c r="C28" t="s">
        <v>54</v>
      </c>
    </row>
    <row r="29" spans="3:3" x14ac:dyDescent="0.25">
      <c r="C29"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DB6B6ACE-541D-4B9D-80B0-835C6BF18C0B}">
  <ds:schemaRefs>
    <ds:schemaRef ds:uri="http://schemas.microsoft.com/sharepoint/v3/contenttype/forms"/>
  </ds:schemaRefs>
</ds:datastoreItem>
</file>

<file path=customXml/itemProps2.xml><?xml version="1.0" encoding="utf-8"?>
<ds:datastoreItem xmlns:ds="http://schemas.openxmlformats.org/officeDocument/2006/customXml" ds:itemID="{873BFEBE-4288-4F52-8E3F-E1253F3C9D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463C22-009E-418A-895A-7B2DB4515821}">
  <ds:schemaRefs>
    <ds:schemaRef ds:uri="http://purl.org/dc/elements/1.1/"/>
    <ds:schemaRef ds:uri="http://schemas.microsoft.com/office/2006/metadata/properties"/>
    <ds:schemaRef ds:uri="http://www.w3.org/XML/1998/namespace"/>
    <ds:schemaRef ds:uri="http://schemas.microsoft.com/sharepoint/v3"/>
    <ds:schemaRef ds:uri="http://schemas.microsoft.com/office/2006/documentManagement/types"/>
    <ds:schemaRef ds:uri="http://purl.org/dc/terms/"/>
    <ds:schemaRef ds:uri="http://schemas.microsoft.com/office/infopath/2007/PartnerControls"/>
    <ds:schemaRef ds:uri="16c05727-aa75-4e4a-9b5f-8a80a1165891"/>
    <ds:schemaRef ds:uri="http://purl.org/dc/dcmitype/"/>
    <ds:schemaRef ds:uri="71af3243-3dd4-4a8d-8c0d-dd76da1f02a5"/>
    <ds:schemaRef ds:uri="http://schemas.openxmlformats.org/package/2006/metadata/core-properties"/>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TM77986610</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Profit and loss statement</vt:lpstr>
      <vt:lpstr>Sheet1</vt:lpstr>
      <vt:lpstr>'Profit and loss statement'!Print_Area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2023-10-22T14:41:50Z</dcterms:created>
  <dcterms:modified xsi:type="dcterms:W3CDTF">2026-02-02T11:41:12Z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