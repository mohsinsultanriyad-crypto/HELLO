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7c4772399e35829/Desktop/"/>
    </mc:Choice>
  </mc:AlternateContent>
  <xr:revisionPtr revIDLastSave="12" documentId="13_ncr:1_{EFDE56FA-3DAB-4455-A6CD-AAD1B407CFD1}" xr6:coauthVersionLast="47" xr6:coauthVersionMax="47" xr10:uidLastSave="{95AF1942-0636-4668-ACF7-A1257FBA9D78}"/>
  <bookViews>
    <workbookView xWindow="-120" yWindow="-120" windowWidth="38640" windowHeight="21120" tabRatio="886" xr2:uid="{2FB9B03A-2741-48E7-AD37-F7BF36B785E4}"/>
  </bookViews>
  <sheets>
    <sheet name="DATA" sheetId="2" r:id="rId1"/>
    <sheet name=" JAHANGIR" sheetId="7" r:id="rId2"/>
    <sheet name="BHIM" sheetId="9" r:id="rId3"/>
    <sheet name="ROHIT KUMAR" sheetId="10" r:id="rId4"/>
    <sheet name="NABIULLAH" sheetId="11" r:id="rId5"/>
    <sheet name="DHARMENDRA" sheetId="12" r:id="rId6"/>
    <sheet name="AWADHESH " sheetId="5" r:id="rId7"/>
    <sheet name="SADDAM" sheetId="16" r:id="rId8"/>
    <sheet name="RAJESH" sheetId="18" r:id="rId9"/>
    <sheet name="MOHSIN" sheetId="19" r:id="rId10"/>
    <sheet name="SABIR" sheetId="21" r:id="rId11"/>
    <sheet name="PALTAN" sheetId="40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21" l="1"/>
  <c r="C12" i="21" s="1"/>
  <c r="B13" i="18"/>
  <c r="B12" i="18"/>
  <c r="C12" i="18" s="1"/>
  <c r="B13" i="16"/>
  <c r="B12" i="16"/>
  <c r="C12" i="16" s="1"/>
  <c r="B12" i="5"/>
  <c r="C12" i="5" s="1"/>
  <c r="B13" i="12"/>
  <c r="B12" i="12"/>
  <c r="C12" i="12" s="1"/>
  <c r="B13" i="11"/>
  <c r="B12" i="11"/>
  <c r="C12" i="11" s="1"/>
  <c r="B13" i="10"/>
  <c r="B12" i="10"/>
  <c r="C12" i="10" s="1"/>
  <c r="B12" i="9"/>
  <c r="C12" i="9" s="1"/>
  <c r="AG14" i="11"/>
  <c r="C13" i="21" l="1"/>
  <c r="D12" i="21"/>
  <c r="B13" i="21"/>
  <c r="C13" i="18"/>
  <c r="D12" i="18"/>
  <c r="C13" i="16"/>
  <c r="D12" i="16"/>
  <c r="C13" i="5"/>
  <c r="D12" i="5"/>
  <c r="B13" i="5"/>
  <c r="C13" i="12"/>
  <c r="D12" i="12"/>
  <c r="C13" i="11"/>
  <c r="D12" i="11"/>
  <c r="C13" i="10"/>
  <c r="D12" i="10"/>
  <c r="C13" i="9"/>
  <c r="D12" i="9"/>
  <c r="B13" i="9"/>
  <c r="AG14" i="5"/>
  <c r="G17" i="40"/>
  <c r="AA21" i="40" s="1"/>
  <c r="AA24" i="40" s="1"/>
  <c r="AG15" i="40"/>
  <c r="F23" i="40" s="1"/>
  <c r="F24" i="40" s="1"/>
  <c r="AG14" i="40"/>
  <c r="G17" i="21"/>
  <c r="AA21" i="21" s="1"/>
  <c r="AA24" i="21" s="1"/>
  <c r="AG15" i="21"/>
  <c r="F23" i="21" s="1"/>
  <c r="F24" i="21" s="1"/>
  <c r="AG14" i="21"/>
  <c r="G17" i="19"/>
  <c r="AA21" i="19" s="1"/>
  <c r="AA24" i="19" s="1"/>
  <c r="AG15" i="19"/>
  <c r="F23" i="19" s="1"/>
  <c r="F24" i="19" s="1"/>
  <c r="AG14" i="19"/>
  <c r="G17" i="18"/>
  <c r="AA21" i="18" s="1"/>
  <c r="AA24" i="18" s="1"/>
  <c r="AG15" i="18"/>
  <c r="F23" i="18" s="1"/>
  <c r="F24" i="18" s="1"/>
  <c r="AG14" i="18"/>
  <c r="G17" i="16"/>
  <c r="AA21" i="16" s="1"/>
  <c r="AA24" i="16" s="1"/>
  <c r="AG15" i="16"/>
  <c r="F23" i="16" s="1"/>
  <c r="F24" i="16" s="1"/>
  <c r="AG14" i="16"/>
  <c r="G17" i="5"/>
  <c r="AA21" i="5" s="1"/>
  <c r="AA24" i="5" s="1"/>
  <c r="AG15" i="5"/>
  <c r="F23" i="5" s="1"/>
  <c r="F24" i="5" s="1"/>
  <c r="G17" i="12"/>
  <c r="AA21" i="12" s="1"/>
  <c r="AA24" i="12" s="1"/>
  <c r="AG15" i="12"/>
  <c r="F23" i="12" s="1"/>
  <c r="F24" i="12" s="1"/>
  <c r="AG14" i="12"/>
  <c r="G17" i="11"/>
  <c r="AA21" i="11" s="1"/>
  <c r="AA24" i="11" s="1"/>
  <c r="AG15" i="11"/>
  <c r="F23" i="11" s="1"/>
  <c r="F24" i="11" s="1"/>
  <c r="G17" i="10"/>
  <c r="AA21" i="10" s="1"/>
  <c r="AA24" i="10" s="1"/>
  <c r="AG15" i="10"/>
  <c r="F23" i="10" s="1"/>
  <c r="F24" i="10" s="1"/>
  <c r="AG14" i="10"/>
  <c r="G17" i="9"/>
  <c r="AA21" i="9" s="1"/>
  <c r="AA24" i="9" s="1"/>
  <c r="AG15" i="9"/>
  <c r="F23" i="9" s="1"/>
  <c r="F24" i="9" s="1"/>
  <c r="AG14" i="9"/>
  <c r="G17" i="7"/>
  <c r="AA21" i="7" s="1"/>
  <c r="AA24" i="7" s="1"/>
  <c r="AG15" i="7"/>
  <c r="F23" i="7" s="1"/>
  <c r="F24" i="7" s="1"/>
  <c r="AG14" i="7"/>
  <c r="I4" i="2"/>
  <c r="D13" i="21" l="1"/>
  <c r="E12" i="21"/>
  <c r="D13" i="18"/>
  <c r="E12" i="18"/>
  <c r="D13" i="16"/>
  <c r="E12" i="16"/>
  <c r="D13" i="5"/>
  <c r="E12" i="5"/>
  <c r="D13" i="12"/>
  <c r="E12" i="12"/>
  <c r="D13" i="11"/>
  <c r="E12" i="11"/>
  <c r="D13" i="10"/>
  <c r="E12" i="10"/>
  <c r="D13" i="9"/>
  <c r="E12" i="9"/>
  <c r="C4" i="2"/>
  <c r="AA17" i="40"/>
  <c r="S26" i="40"/>
  <c r="AA17" i="19"/>
  <c r="B12" i="40"/>
  <c r="B12" i="7"/>
  <c r="B13" i="7" s="1"/>
  <c r="B12" i="19"/>
  <c r="AA17" i="16"/>
  <c r="S26" i="16"/>
  <c r="AA17" i="10"/>
  <c r="AA17" i="12"/>
  <c r="AA17" i="5"/>
  <c r="AA17" i="11"/>
  <c r="S26" i="11"/>
  <c r="AA17" i="18"/>
  <c r="AA17" i="9"/>
  <c r="S26" i="9"/>
  <c r="S26" i="19"/>
  <c r="AA17" i="7"/>
  <c r="S26" i="12"/>
  <c r="S26" i="21"/>
  <c r="AA17" i="21"/>
  <c r="S26" i="18"/>
  <c r="S26" i="5"/>
  <c r="S26" i="10"/>
  <c r="S26" i="7"/>
  <c r="F12" i="21" l="1"/>
  <c r="E13" i="21"/>
  <c r="F12" i="18"/>
  <c r="E13" i="18"/>
  <c r="F12" i="16"/>
  <c r="E13" i="16"/>
  <c r="F12" i="5"/>
  <c r="E13" i="5"/>
  <c r="F12" i="12"/>
  <c r="E13" i="12"/>
  <c r="F12" i="11"/>
  <c r="E13" i="11"/>
  <c r="F12" i="10"/>
  <c r="E13" i="10"/>
  <c r="E13" i="9"/>
  <c r="F12" i="9"/>
  <c r="C12" i="7"/>
  <c r="D12" i="7" s="1"/>
  <c r="B13" i="19"/>
  <c r="C12" i="19"/>
  <c r="B13" i="40"/>
  <c r="C12" i="40"/>
  <c r="G12" i="21" l="1"/>
  <c r="F13" i="21"/>
  <c r="G12" i="18"/>
  <c r="F13" i="18"/>
  <c r="G12" i="16"/>
  <c r="F13" i="16"/>
  <c r="G12" i="5"/>
  <c r="F13" i="5"/>
  <c r="G12" i="12"/>
  <c r="F13" i="12"/>
  <c r="G12" i="11"/>
  <c r="F13" i="11"/>
  <c r="G12" i="10"/>
  <c r="F13" i="10"/>
  <c r="G12" i="9"/>
  <c r="F13" i="9"/>
  <c r="C13" i="7"/>
  <c r="C13" i="40"/>
  <c r="D12" i="40"/>
  <c r="C13" i="19"/>
  <c r="D12" i="19"/>
  <c r="D13" i="7"/>
  <c r="E12" i="7"/>
  <c r="H12" i="21" l="1"/>
  <c r="G13" i="21"/>
  <c r="G13" i="18"/>
  <c r="H12" i="18"/>
  <c r="G13" i="16"/>
  <c r="H12" i="16"/>
  <c r="G13" i="5"/>
  <c r="H12" i="5"/>
  <c r="G13" i="12"/>
  <c r="H12" i="12"/>
  <c r="G13" i="11"/>
  <c r="H12" i="11"/>
  <c r="G13" i="10"/>
  <c r="H12" i="10"/>
  <c r="G13" i="9"/>
  <c r="H12" i="9"/>
  <c r="D13" i="19"/>
  <c r="E12" i="19"/>
  <c r="D13" i="40"/>
  <c r="E12" i="40"/>
  <c r="E13" i="7"/>
  <c r="F12" i="7"/>
  <c r="H13" i="21" l="1"/>
  <c r="I12" i="21"/>
  <c r="H13" i="18"/>
  <c r="I12" i="18"/>
  <c r="H13" i="16"/>
  <c r="I12" i="16"/>
  <c r="H13" i="5"/>
  <c r="I12" i="5"/>
  <c r="H13" i="12"/>
  <c r="I12" i="12"/>
  <c r="H13" i="11"/>
  <c r="I12" i="11"/>
  <c r="H13" i="10"/>
  <c r="I12" i="10"/>
  <c r="H13" i="9"/>
  <c r="I12" i="9"/>
  <c r="E13" i="40"/>
  <c r="F12" i="40"/>
  <c r="E13" i="19"/>
  <c r="F12" i="19"/>
  <c r="F13" i="7"/>
  <c r="G12" i="7"/>
  <c r="J12" i="21" l="1"/>
  <c r="I13" i="21"/>
  <c r="J12" i="18"/>
  <c r="I13" i="18"/>
  <c r="J12" i="16"/>
  <c r="I13" i="16"/>
  <c r="I13" i="5"/>
  <c r="J12" i="5"/>
  <c r="J12" i="12"/>
  <c r="I13" i="12"/>
  <c r="J12" i="11"/>
  <c r="I13" i="11"/>
  <c r="J12" i="10"/>
  <c r="I13" i="10"/>
  <c r="J12" i="9"/>
  <c r="I13" i="9"/>
  <c r="G12" i="19"/>
  <c r="F13" i="19"/>
  <c r="F13" i="40"/>
  <c r="G12" i="40"/>
  <c r="H12" i="7"/>
  <c r="G13" i="7"/>
  <c r="K12" i="21" l="1"/>
  <c r="J13" i="21"/>
  <c r="K12" i="18"/>
  <c r="J13" i="18"/>
  <c r="K12" i="16"/>
  <c r="J13" i="16"/>
  <c r="K12" i="5"/>
  <c r="J13" i="5"/>
  <c r="K12" i="12"/>
  <c r="J13" i="12"/>
  <c r="K12" i="11"/>
  <c r="J13" i="11"/>
  <c r="K12" i="10"/>
  <c r="J13" i="10"/>
  <c r="K12" i="9"/>
  <c r="J13" i="9"/>
  <c r="H12" i="40"/>
  <c r="G13" i="40"/>
  <c r="H12" i="19"/>
  <c r="G13" i="19"/>
  <c r="I12" i="7"/>
  <c r="H13" i="7"/>
  <c r="K13" i="21" l="1"/>
  <c r="L12" i="21"/>
  <c r="K13" i="18"/>
  <c r="L12" i="18"/>
  <c r="K13" i="16"/>
  <c r="L12" i="16"/>
  <c r="K13" i="5"/>
  <c r="L12" i="5"/>
  <c r="K13" i="12"/>
  <c r="L12" i="12"/>
  <c r="K13" i="11"/>
  <c r="L12" i="11"/>
  <c r="K13" i="10"/>
  <c r="L12" i="10"/>
  <c r="L12" i="9"/>
  <c r="K13" i="9"/>
  <c r="I12" i="19"/>
  <c r="H13" i="19"/>
  <c r="I12" i="40"/>
  <c r="H13" i="40"/>
  <c r="J12" i="7"/>
  <c r="I13" i="7"/>
  <c r="L13" i="21" l="1"/>
  <c r="M12" i="21"/>
  <c r="L13" i="18"/>
  <c r="M12" i="18"/>
  <c r="L13" i="16"/>
  <c r="M12" i="16"/>
  <c r="L13" i="5"/>
  <c r="M12" i="5"/>
  <c r="L13" i="12"/>
  <c r="M12" i="12"/>
  <c r="L13" i="11"/>
  <c r="M12" i="11"/>
  <c r="L13" i="10"/>
  <c r="M12" i="10"/>
  <c r="L13" i="9"/>
  <c r="M12" i="9"/>
  <c r="I13" i="40"/>
  <c r="J12" i="40"/>
  <c r="I13" i="19"/>
  <c r="J12" i="19"/>
  <c r="K12" i="7"/>
  <c r="J13" i="7"/>
  <c r="N12" i="21" l="1"/>
  <c r="M13" i="21"/>
  <c r="N12" i="18"/>
  <c r="M13" i="18"/>
  <c r="N12" i="16"/>
  <c r="M13" i="16"/>
  <c r="N12" i="5"/>
  <c r="M13" i="5"/>
  <c r="N12" i="12"/>
  <c r="M13" i="12"/>
  <c r="N12" i="11"/>
  <c r="M13" i="11"/>
  <c r="N12" i="10"/>
  <c r="M13" i="10"/>
  <c r="N12" i="9"/>
  <c r="M13" i="9"/>
  <c r="K12" i="40"/>
  <c r="J13" i="40"/>
  <c r="J13" i="19"/>
  <c r="K12" i="19"/>
  <c r="L12" i="7"/>
  <c r="K13" i="7"/>
  <c r="O12" i="21" l="1"/>
  <c r="N13" i="21"/>
  <c r="O12" i="18"/>
  <c r="N13" i="18"/>
  <c r="O12" i="16"/>
  <c r="N13" i="16"/>
  <c r="O12" i="5"/>
  <c r="N13" i="5"/>
  <c r="O12" i="12"/>
  <c r="N13" i="12"/>
  <c r="O12" i="11"/>
  <c r="N13" i="11"/>
  <c r="O12" i="10"/>
  <c r="N13" i="10"/>
  <c r="O12" i="9"/>
  <c r="N13" i="9"/>
  <c r="L12" i="40"/>
  <c r="K13" i="40"/>
  <c r="L12" i="19"/>
  <c r="K13" i="19"/>
  <c r="M12" i="7"/>
  <c r="L13" i="7"/>
  <c r="P12" i="21" l="1"/>
  <c r="O13" i="21"/>
  <c r="O13" i="18"/>
  <c r="P12" i="18"/>
  <c r="O13" i="16"/>
  <c r="P12" i="16"/>
  <c r="O13" i="5"/>
  <c r="P12" i="5"/>
  <c r="O13" i="12"/>
  <c r="P12" i="12"/>
  <c r="O13" i="11"/>
  <c r="P12" i="11"/>
  <c r="O13" i="10"/>
  <c r="P12" i="10"/>
  <c r="P12" i="9"/>
  <c r="O13" i="9"/>
  <c r="L13" i="19"/>
  <c r="M12" i="19"/>
  <c r="M12" i="40"/>
  <c r="L13" i="40"/>
  <c r="M13" i="7"/>
  <c r="N12" i="7"/>
  <c r="P13" i="21" l="1"/>
  <c r="Q12" i="21"/>
  <c r="P13" i="18"/>
  <c r="Q12" i="18"/>
  <c r="P13" i="16"/>
  <c r="Q12" i="16"/>
  <c r="P13" i="5"/>
  <c r="Q12" i="5"/>
  <c r="P13" i="12"/>
  <c r="Q12" i="12"/>
  <c r="P13" i="11"/>
  <c r="Q12" i="11"/>
  <c r="P13" i="10"/>
  <c r="Q12" i="10"/>
  <c r="P13" i="9"/>
  <c r="Q12" i="9"/>
  <c r="M13" i="40"/>
  <c r="N12" i="40"/>
  <c r="M13" i="19"/>
  <c r="N12" i="19"/>
  <c r="N13" i="7"/>
  <c r="O12" i="7"/>
  <c r="R12" i="21" l="1"/>
  <c r="Q13" i="21"/>
  <c r="R12" i="18"/>
  <c r="Q13" i="18"/>
  <c r="R12" i="16"/>
  <c r="Q13" i="16"/>
  <c r="R12" i="5"/>
  <c r="Q13" i="5"/>
  <c r="R12" i="12"/>
  <c r="Q13" i="12"/>
  <c r="R12" i="11"/>
  <c r="Q13" i="11"/>
  <c r="R12" i="10"/>
  <c r="Q13" i="10"/>
  <c r="Q13" i="9"/>
  <c r="R12" i="9"/>
  <c r="O12" i="19"/>
  <c r="N13" i="19"/>
  <c r="O12" i="40"/>
  <c r="N13" i="40"/>
  <c r="O13" i="7"/>
  <c r="P12" i="7"/>
  <c r="S12" i="21" l="1"/>
  <c r="R13" i="21"/>
  <c r="S12" i="18"/>
  <c r="R13" i="18"/>
  <c r="S12" i="16"/>
  <c r="R13" i="16"/>
  <c r="S12" i="5"/>
  <c r="R13" i="5"/>
  <c r="S12" i="12"/>
  <c r="R13" i="12"/>
  <c r="S12" i="11"/>
  <c r="R13" i="11"/>
  <c r="S12" i="10"/>
  <c r="R13" i="10"/>
  <c r="S12" i="9"/>
  <c r="R13" i="9"/>
  <c r="O13" i="40"/>
  <c r="P12" i="40"/>
  <c r="O13" i="19"/>
  <c r="P12" i="19"/>
  <c r="P13" i="7"/>
  <c r="Q12" i="7"/>
  <c r="S13" i="21" l="1"/>
  <c r="T12" i="21"/>
  <c r="S13" i="18"/>
  <c r="T12" i="18"/>
  <c r="S13" i="16"/>
  <c r="T12" i="16"/>
  <c r="S13" i="5"/>
  <c r="T12" i="5"/>
  <c r="S13" i="12"/>
  <c r="T12" i="12"/>
  <c r="S13" i="11"/>
  <c r="T12" i="11"/>
  <c r="S13" i="10"/>
  <c r="T12" i="10"/>
  <c r="S13" i="9"/>
  <c r="T12" i="9"/>
  <c r="Q12" i="19"/>
  <c r="P13" i="19"/>
  <c r="Q12" i="40"/>
  <c r="P13" i="40"/>
  <c r="Q13" i="7"/>
  <c r="R12" i="7"/>
  <c r="T13" i="21" l="1"/>
  <c r="U12" i="21"/>
  <c r="T13" i="18"/>
  <c r="U12" i="18"/>
  <c r="T13" i="16"/>
  <c r="U12" i="16"/>
  <c r="T13" i="5"/>
  <c r="U12" i="5"/>
  <c r="T13" i="12"/>
  <c r="U12" i="12"/>
  <c r="T13" i="11"/>
  <c r="U12" i="11"/>
  <c r="T13" i="10"/>
  <c r="U12" i="10"/>
  <c r="T13" i="9"/>
  <c r="U12" i="9"/>
  <c r="Q13" i="40"/>
  <c r="R12" i="40"/>
  <c r="Q13" i="19"/>
  <c r="R12" i="19"/>
  <c r="R13" i="7"/>
  <c r="S12" i="7"/>
  <c r="V12" i="21" l="1"/>
  <c r="U13" i="21"/>
  <c r="V12" i="18"/>
  <c r="U13" i="18"/>
  <c r="V12" i="16"/>
  <c r="U13" i="16"/>
  <c r="V12" i="5"/>
  <c r="U13" i="5"/>
  <c r="V12" i="12"/>
  <c r="U13" i="12"/>
  <c r="V12" i="11"/>
  <c r="U13" i="11"/>
  <c r="V12" i="10"/>
  <c r="U13" i="10"/>
  <c r="V12" i="9"/>
  <c r="U13" i="9"/>
  <c r="S12" i="19"/>
  <c r="R13" i="19"/>
  <c r="S12" i="40"/>
  <c r="R13" i="40"/>
  <c r="T12" i="7"/>
  <c r="S13" i="7"/>
  <c r="W12" i="21" l="1"/>
  <c r="V13" i="21"/>
  <c r="W12" i="18"/>
  <c r="V13" i="18"/>
  <c r="W12" i="16"/>
  <c r="V13" i="16"/>
  <c r="W12" i="5"/>
  <c r="V13" i="5"/>
  <c r="W12" i="12"/>
  <c r="V13" i="12"/>
  <c r="W12" i="11"/>
  <c r="V13" i="11"/>
  <c r="W12" i="10"/>
  <c r="V13" i="10"/>
  <c r="W12" i="9"/>
  <c r="V13" i="9"/>
  <c r="T12" i="40"/>
  <c r="S13" i="40"/>
  <c r="T12" i="19"/>
  <c r="S13" i="19"/>
  <c r="U12" i="7"/>
  <c r="T13" i="7"/>
  <c r="W13" i="21" l="1"/>
  <c r="X12" i="21"/>
  <c r="W13" i="18"/>
  <c r="X12" i="18"/>
  <c r="W13" i="16"/>
  <c r="X12" i="16"/>
  <c r="W13" i="5"/>
  <c r="X12" i="5"/>
  <c r="W13" i="12"/>
  <c r="X12" i="12"/>
  <c r="W13" i="11"/>
  <c r="X12" i="11"/>
  <c r="W13" i="10"/>
  <c r="X12" i="10"/>
  <c r="X12" i="9"/>
  <c r="W13" i="9"/>
  <c r="T13" i="19"/>
  <c r="U12" i="19"/>
  <c r="U12" i="40"/>
  <c r="T13" i="40"/>
  <c r="V12" i="7"/>
  <c r="U13" i="7"/>
  <c r="X13" i="21" l="1"/>
  <c r="Y12" i="21"/>
  <c r="X13" i="18"/>
  <c r="Y12" i="18"/>
  <c r="X13" i="16"/>
  <c r="Y12" i="16"/>
  <c r="X13" i="5"/>
  <c r="Y12" i="5"/>
  <c r="X13" i="12"/>
  <c r="Y12" i="12"/>
  <c r="X13" i="11"/>
  <c r="Y12" i="11"/>
  <c r="X13" i="10"/>
  <c r="Y12" i="10"/>
  <c r="X13" i="9"/>
  <c r="Y12" i="9"/>
  <c r="V12" i="19"/>
  <c r="U13" i="19"/>
  <c r="U13" i="40"/>
  <c r="V12" i="40"/>
  <c r="W12" i="7"/>
  <c r="V13" i="7"/>
  <c r="Z12" i="21" l="1"/>
  <c r="Y13" i="21"/>
  <c r="Z12" i="18"/>
  <c r="Y13" i="18"/>
  <c r="Z12" i="16"/>
  <c r="Y13" i="16"/>
  <c r="Y13" i="5"/>
  <c r="Z12" i="5"/>
  <c r="Z12" i="12"/>
  <c r="Y13" i="12"/>
  <c r="Z12" i="11"/>
  <c r="Y13" i="11"/>
  <c r="Z12" i="10"/>
  <c r="Y13" i="10"/>
  <c r="Y13" i="9"/>
  <c r="Z12" i="9"/>
  <c r="W12" i="40"/>
  <c r="V13" i="40"/>
  <c r="W12" i="19"/>
  <c r="V13" i="19"/>
  <c r="X12" i="7"/>
  <c r="W13" i="7"/>
  <c r="AA12" i="21" l="1"/>
  <c r="Z13" i="21"/>
  <c r="AA12" i="18"/>
  <c r="Z13" i="18"/>
  <c r="AA12" i="16"/>
  <c r="Z13" i="16"/>
  <c r="AA12" i="5"/>
  <c r="Z13" i="5"/>
  <c r="AA12" i="12"/>
  <c r="Z13" i="12"/>
  <c r="AA12" i="11"/>
  <c r="Z13" i="11"/>
  <c r="AA12" i="10"/>
  <c r="Z13" i="10"/>
  <c r="AA12" i="9"/>
  <c r="Z13" i="9"/>
  <c r="X12" i="19"/>
  <c r="W13" i="19"/>
  <c r="X12" i="40"/>
  <c r="W13" i="40"/>
  <c r="X13" i="7"/>
  <c r="Y12" i="7"/>
  <c r="AB12" i="21" l="1"/>
  <c r="AA13" i="21"/>
  <c r="AA13" i="18"/>
  <c r="AB12" i="18"/>
  <c r="AA13" i="16"/>
  <c r="AB12" i="16"/>
  <c r="AA13" i="5"/>
  <c r="AB12" i="5"/>
  <c r="AA13" i="12"/>
  <c r="AB12" i="12"/>
  <c r="AA13" i="11"/>
  <c r="AB12" i="11"/>
  <c r="AA13" i="10"/>
  <c r="AB12" i="10"/>
  <c r="AB12" i="9"/>
  <c r="AA13" i="9"/>
  <c r="X13" i="40"/>
  <c r="Y12" i="40"/>
  <c r="X13" i="19"/>
  <c r="Y12" i="19"/>
  <c r="Y13" i="7"/>
  <c r="Z12" i="7"/>
  <c r="AB13" i="21" l="1"/>
  <c r="AC12" i="21"/>
  <c r="AB13" i="18"/>
  <c r="AC12" i="18"/>
  <c r="AB13" i="16"/>
  <c r="AC12" i="16"/>
  <c r="AB13" i="5"/>
  <c r="AC12" i="5"/>
  <c r="AB13" i="12"/>
  <c r="AC12" i="12"/>
  <c r="AB13" i="11"/>
  <c r="AC12" i="11"/>
  <c r="AB13" i="10"/>
  <c r="AC12" i="10"/>
  <c r="AB13" i="9"/>
  <c r="AC12" i="9"/>
  <c r="Z12" i="19"/>
  <c r="Y13" i="19"/>
  <c r="Z12" i="40"/>
  <c r="Y13" i="40"/>
  <c r="Z13" i="7"/>
  <c r="AA12" i="7"/>
  <c r="AD12" i="21" l="1"/>
  <c r="AC13" i="21"/>
  <c r="AD12" i="18"/>
  <c r="AC13" i="18"/>
  <c r="AD12" i="16"/>
  <c r="AC13" i="16"/>
  <c r="AD12" i="5"/>
  <c r="AC13" i="5"/>
  <c r="AD12" i="12"/>
  <c r="AC13" i="12"/>
  <c r="AD12" i="11"/>
  <c r="AC13" i="11"/>
  <c r="AD12" i="10"/>
  <c r="AC13" i="10"/>
  <c r="AD12" i="9"/>
  <c r="AC13" i="9"/>
  <c r="Z13" i="40"/>
  <c r="AA12" i="40"/>
  <c r="AA12" i="19"/>
  <c r="Z13" i="19"/>
  <c r="AA13" i="7"/>
  <c r="AB12" i="7"/>
  <c r="AE12" i="21" l="1"/>
  <c r="AD13" i="21"/>
  <c r="AE12" i="18"/>
  <c r="AD13" i="18"/>
  <c r="AE12" i="16"/>
  <c r="AD13" i="16"/>
  <c r="AE12" i="5"/>
  <c r="AD13" i="5"/>
  <c r="AE12" i="12"/>
  <c r="AD13" i="12"/>
  <c r="AE12" i="11"/>
  <c r="AD13" i="11"/>
  <c r="AE12" i="10"/>
  <c r="AD13" i="10"/>
  <c r="AE12" i="9"/>
  <c r="AD13" i="9"/>
  <c r="AA13" i="19"/>
  <c r="AB12" i="19"/>
  <c r="AA13" i="40"/>
  <c r="AB12" i="40"/>
  <c r="AB13" i="7"/>
  <c r="AC12" i="7"/>
  <c r="AE13" i="21" l="1"/>
  <c r="AF12" i="21"/>
  <c r="AF13" i="21" s="1"/>
  <c r="AE13" i="18"/>
  <c r="AF12" i="18"/>
  <c r="AF13" i="18" s="1"/>
  <c r="AE13" i="16"/>
  <c r="AF12" i="16"/>
  <c r="AF13" i="16" s="1"/>
  <c r="AF12" i="5"/>
  <c r="AF13" i="5" s="1"/>
  <c r="AE13" i="5"/>
  <c r="AE13" i="12"/>
  <c r="AF12" i="12"/>
  <c r="AF13" i="12" s="1"/>
  <c r="AE13" i="11"/>
  <c r="AF12" i="11"/>
  <c r="AF13" i="11" s="1"/>
  <c r="AE13" i="10"/>
  <c r="AF12" i="10"/>
  <c r="AF13" i="10" s="1"/>
  <c r="AE13" i="9"/>
  <c r="AF12" i="9"/>
  <c r="AF13" i="9" s="1"/>
  <c r="AB13" i="40"/>
  <c r="AC12" i="40"/>
  <c r="AC12" i="19"/>
  <c r="AB13" i="19"/>
  <c r="AC13" i="7"/>
  <c r="AD12" i="7"/>
  <c r="AC13" i="19" l="1"/>
  <c r="AD12" i="19"/>
  <c r="AC13" i="40"/>
  <c r="AD12" i="40"/>
  <c r="AD13" i="7"/>
  <c r="AE12" i="7"/>
  <c r="AD13" i="19" l="1"/>
  <c r="AE12" i="19"/>
  <c r="AE12" i="40"/>
  <c r="AD13" i="40"/>
  <c r="AF12" i="7"/>
  <c r="AF13" i="7" s="1"/>
  <c r="AE13" i="7"/>
  <c r="AF12" i="40" l="1"/>
  <c r="AF13" i="40" s="1"/>
  <c r="AE13" i="40"/>
  <c r="AF12" i="19"/>
  <c r="AF13" i="19" s="1"/>
  <c r="AE13" i="19"/>
</calcChain>
</file>

<file path=xl/sharedStrings.xml><?xml version="1.0" encoding="utf-8"?>
<sst xmlns="http://schemas.openxmlformats.org/spreadsheetml/2006/main" count="346" uniqueCount="56">
  <si>
    <t>EMPLOYEE NAME</t>
  </si>
  <si>
    <t>EMPLOYEE NO</t>
  </si>
  <si>
    <t>WORK LOCATION</t>
  </si>
  <si>
    <t>IQAMA NO</t>
  </si>
  <si>
    <t>CATEGORY</t>
  </si>
  <si>
    <t>COMPANY</t>
  </si>
  <si>
    <t>DATE</t>
  </si>
  <si>
    <t>HOURS</t>
  </si>
  <si>
    <t>DAYS</t>
  </si>
  <si>
    <t>DUTY HOUR</t>
  </si>
  <si>
    <t>OVER TIME</t>
  </si>
  <si>
    <t>NUMBER OF ABSENT</t>
  </si>
  <si>
    <t>TOTAL HOURS</t>
  </si>
  <si>
    <t>SALARY AMOUNT DETAILS</t>
  </si>
  <si>
    <t xml:space="preserve">EARNING </t>
  </si>
  <si>
    <t>DEDUCTION</t>
  </si>
  <si>
    <t>BASIC SALARY</t>
  </si>
  <si>
    <t>ABSENT DEDUCTION</t>
  </si>
  <si>
    <t>FOOD ALLOWANCE</t>
  </si>
  <si>
    <t>ADVANCE DEDUCTION</t>
  </si>
  <si>
    <t>OTHER DEDUCTION</t>
  </si>
  <si>
    <t>TOTAL AMOUNT</t>
  </si>
  <si>
    <t>NET AMOUNT</t>
  </si>
  <si>
    <t>APPROVAL BY HR</t>
  </si>
  <si>
    <t>RECEVIED BY EMPLOYEE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</si>
  <si>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</si>
  <si>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</si>
  <si>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</si>
  <si>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</si>
  <si>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</si>
  <si>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</si>
  <si>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</si>
  <si>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</si>
  <si>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</si>
  <si>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</si>
  <si>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</si>
  <si>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SELECT MONTHS :</t>
  </si>
  <si>
    <t>SELECT YEAR :</t>
  </si>
  <si>
    <t>HELPER</t>
  </si>
  <si>
    <t>WELDER</t>
  </si>
  <si>
    <t>MOHAMMAD JAHANGIR</t>
  </si>
  <si>
    <t>BHIM KUMAR</t>
  </si>
  <si>
    <t>PIPE FITTER</t>
  </si>
  <si>
    <t>ROHIT KUMAR RAM</t>
  </si>
  <si>
    <t>NABIULLAH KHAN</t>
  </si>
  <si>
    <t>DHARMENDRA KUMAR</t>
  </si>
  <si>
    <t>AWADHESH KUMAR SING</t>
  </si>
  <si>
    <t>SADDAM HUSAIN</t>
  </si>
  <si>
    <t>RAJESH KUMAR</t>
  </si>
  <si>
    <t>OFFICE ADMIN</t>
  </si>
  <si>
    <t>MOHSIN KHAN</t>
  </si>
  <si>
    <t>SABIR ANSARI</t>
  </si>
  <si>
    <t>PALTAM ROY</t>
  </si>
  <si>
    <t>A</t>
  </si>
  <si>
    <t>TIME SHEET MONTH OF JUNE -2025</t>
  </si>
  <si>
    <t>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</si>
</sst>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d"/>
    <numFmt numFmtId="166" formatCode="ddd"/>
  </numFmts>
  <fonts count="1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8"/>
      <color theme="1"/>
      <name val="Arial Rounded MT Bold"/>
      <family val="2"/>
    </font>
    <font>
      <b/>
      <sz val="18"/>
      <color theme="1"/>
      <name val="Arial Rounded MT Bold"/>
      <family val="2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sz val="10"/>
      <color theme="1"/>
      <name val="Georgia Pro Cond Light"/>
      <family val="1"/>
    </font>
    <font>
      <b/>
      <sz val="20"/>
      <color theme="1"/>
      <name val="Aptos Narrow"/>
      <family val="2"/>
      <scheme val="minor"/>
    </font>
    <font>
      <b/>
      <sz val="22"/>
      <color rgb="FFFF0000"/>
      <name val="Aptos Narrow"/>
      <family val="2"/>
      <scheme val="minor"/>
    </font>
    <font>
      <b/>
      <sz val="24"/>
      <color rgb="FFFF0000"/>
      <name val="Aptos Narrow"/>
      <family val="2"/>
      <scheme val="minor"/>
    </font>
    <font>
      <b/>
      <sz val="36"/>
      <color theme="3" tint="9.9978637043366805E-2"/>
      <name val="Amasis MT Pro Medium"/>
      <family val="1"/>
    </font>
    <font>
      <sz val="22"/>
      <color theme="3" tint="9.9978637043366805E-2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1" fillId="2" borderId="11" xfId="0" applyFont="1" applyFill="1" applyBorder="1"/>
    <xf numFmtId="0" fontId="4" fillId="2" borderId="11" xfId="0" applyFont="1" applyFill="1" applyBorder="1"/>
    <xf numFmtId="0" fontId="4" fillId="2" borderId="16" xfId="0" applyFont="1" applyFill="1" applyBorder="1"/>
    <xf numFmtId="0" fontId="4" fillId="2" borderId="2" xfId="0" applyFont="1" applyFill="1" applyBorder="1"/>
    <xf numFmtId="0" fontId="4" fillId="2" borderId="15" xfId="0" applyFont="1" applyFill="1" applyBorder="1"/>
    <xf numFmtId="0" fontId="7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166" fontId="1" fillId="2" borderId="11" xfId="0" applyNumberFormat="1" applyFont="1" applyFill="1" applyBorder="1" applyAlignment="1">
      <alignment horizontal="center"/>
    </xf>
    <xf numFmtId="165" fontId="4" fillId="2" borderId="11" xfId="0" applyNumberFormat="1" applyFont="1" applyFill="1" applyBorder="1" applyAlignment="1">
      <alignment horizontal="center"/>
    </xf>
    <xf numFmtId="0" fontId="12" fillId="2" borderId="2" xfId="0" applyFont="1" applyFill="1" applyBorder="1" applyAlignment="1">
      <alignment horizontal="center" vertical="center"/>
    </xf>
    <xf numFmtId="0" fontId="14" fillId="3" borderId="11" xfId="0" applyFont="1" applyFill="1" applyBorder="1" applyAlignment="1">
      <alignment horizontal="center"/>
    </xf>
    <xf numFmtId="0" fontId="15" fillId="3" borderId="11" xfId="0" applyFont="1" applyFill="1" applyBorder="1" applyAlignment="1">
      <alignment horizontal="center"/>
    </xf>
    <xf numFmtId="0" fontId="0" fillId="4" borderId="1" xfId="0" applyFill="1" applyBorder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0" fillId="4" borderId="48" xfId="0" applyFill="1" applyBorder="1"/>
    <xf numFmtId="0" fontId="0" fillId="4" borderId="49" xfId="0" applyFill="1" applyBorder="1"/>
    <xf numFmtId="0" fontId="0" fillId="4" borderId="50" xfId="0" applyFill="1" applyBorder="1"/>
    <xf numFmtId="0" fontId="0" fillId="4" borderId="0" xfId="0" applyFill="1"/>
    <xf numFmtId="0" fontId="16" fillId="0" borderId="0" xfId="0" applyFont="1" applyAlignment="1">
      <alignment horizontal="right"/>
    </xf>
    <xf numFmtId="0" fontId="17" fillId="0" borderId="0" xfId="0" applyFont="1" applyAlignment="1">
      <alignment horizontal="right"/>
    </xf>
    <xf numFmtId="1" fontId="12" fillId="2" borderId="2" xfId="0" applyNumberFormat="1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0" fontId="18" fillId="0" borderId="0" xfId="0" applyFont="1"/>
    <xf numFmtId="0" fontId="11" fillId="3" borderId="2" xfId="0" applyFont="1" applyFill="1" applyBorder="1" applyAlignment="1">
      <alignment horizontal="center"/>
    </xf>
    <xf numFmtId="0" fontId="11" fillId="3" borderId="3" xfId="0" applyFont="1" applyFill="1" applyBorder="1" applyAlignment="1">
      <alignment horizontal="center"/>
    </xf>
    <xf numFmtId="0" fontId="13" fillId="3" borderId="2" xfId="0" applyFont="1" applyFill="1" applyBorder="1" applyAlignment="1">
      <alignment horizontal="center"/>
    </xf>
    <xf numFmtId="0" fontId="13" fillId="3" borderId="3" xfId="0" applyFont="1" applyFill="1" applyBorder="1" applyAlignment="1">
      <alignment horizontal="center"/>
    </xf>
    <xf numFmtId="164" fontId="10" fillId="3" borderId="1" xfId="0" applyNumberFormat="1" applyFont="1" applyFill="1" applyBorder="1" applyAlignment="1">
      <alignment horizontal="center" vertical="center"/>
    </xf>
    <xf numFmtId="164" fontId="10" fillId="3" borderId="44" xfId="0" applyNumberFormat="1" applyFont="1" applyFill="1" applyBorder="1" applyAlignment="1">
      <alignment horizontal="center" vertical="center"/>
    </xf>
    <xf numFmtId="164" fontId="10" fillId="3" borderId="45" xfId="0" applyNumberFormat="1" applyFont="1" applyFill="1" applyBorder="1" applyAlignment="1">
      <alignment horizontal="center" vertical="center"/>
    </xf>
    <xf numFmtId="164" fontId="10" fillId="3" borderId="46" xfId="0" applyNumberFormat="1" applyFont="1" applyFill="1" applyBorder="1" applyAlignment="1">
      <alignment horizontal="center" vertical="center"/>
    </xf>
    <xf numFmtId="164" fontId="10" fillId="3" borderId="0" xfId="0" applyNumberFormat="1" applyFont="1" applyFill="1" applyAlignment="1">
      <alignment horizontal="center" vertical="center"/>
    </xf>
    <xf numFmtId="164" fontId="10" fillId="3" borderId="47" xfId="0" applyNumberFormat="1" applyFont="1" applyFill="1" applyBorder="1" applyAlignment="1">
      <alignment horizontal="center" vertical="center"/>
    </xf>
    <xf numFmtId="164" fontId="10" fillId="3" borderId="48" xfId="0" applyNumberFormat="1" applyFont="1" applyFill="1" applyBorder="1" applyAlignment="1">
      <alignment horizontal="center" vertical="center"/>
    </xf>
    <xf numFmtId="164" fontId="10" fillId="3" borderId="49" xfId="0" applyNumberFormat="1" applyFont="1" applyFill="1" applyBorder="1" applyAlignment="1">
      <alignment horizontal="center" vertical="center"/>
    </xf>
    <xf numFmtId="164" fontId="10" fillId="3" borderId="50" xfId="0" applyNumberFormat="1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2" fontId="7" fillId="2" borderId="5" xfId="0" applyNumberFormat="1" applyFont="1" applyFill="1" applyBorder="1" applyAlignment="1">
      <alignment horizontal="center" vertical="center"/>
    </xf>
    <xf numFmtId="0" fontId="5" fillId="0" borderId="42" xfId="0" applyFont="1" applyBorder="1" applyAlignment="1">
      <alignment horizontal="center"/>
    </xf>
    <xf numFmtId="0" fontId="0" fillId="2" borderId="26" xfId="0" applyFill="1" applyBorder="1" applyAlignment="1">
      <alignment horizontal="left"/>
    </xf>
    <xf numFmtId="0" fontId="0" fillId="2" borderId="27" xfId="0" applyFill="1" applyBorder="1" applyAlignment="1">
      <alignment horizontal="left"/>
    </xf>
    <xf numFmtId="0" fontId="0" fillId="2" borderId="28" xfId="0" applyFill="1" applyBorder="1" applyAlignment="1">
      <alignment horizontal="left"/>
    </xf>
    <xf numFmtId="2" fontId="0" fillId="2" borderId="29" xfId="0" applyNumberFormat="1" applyFill="1" applyBorder="1" applyAlignment="1">
      <alignment horizontal="center"/>
    </xf>
    <xf numFmtId="2" fontId="0" fillId="2" borderId="27" xfId="0" applyNumberFormat="1" applyFill="1" applyBorder="1" applyAlignment="1">
      <alignment horizontal="center"/>
    </xf>
    <xf numFmtId="2" fontId="0" fillId="2" borderId="30" xfId="0" applyNumberFormat="1" applyFill="1" applyBorder="1" applyAlignment="1">
      <alignment horizontal="center"/>
    </xf>
    <xf numFmtId="2" fontId="0" fillId="2" borderId="32" xfId="0" applyNumberFormat="1" applyFill="1" applyBorder="1" applyAlignment="1">
      <alignment horizontal="center"/>
    </xf>
    <xf numFmtId="2" fontId="0" fillId="2" borderId="34" xfId="0" applyNumberFormat="1" applyFill="1" applyBorder="1" applyAlignment="1">
      <alignment horizontal="center"/>
    </xf>
    <xf numFmtId="0" fontId="0" fillId="2" borderId="35" xfId="0" applyFill="1" applyBorder="1" applyAlignment="1">
      <alignment horizontal="left"/>
    </xf>
    <xf numFmtId="0" fontId="0" fillId="2" borderId="36" xfId="0" applyFill="1" applyBorder="1" applyAlignment="1">
      <alignment horizontal="left"/>
    </xf>
    <xf numFmtId="0" fontId="0" fillId="2" borderId="37" xfId="0" applyFill="1" applyBorder="1" applyAlignment="1">
      <alignment horizontal="left"/>
    </xf>
    <xf numFmtId="2" fontId="0" fillId="2" borderId="38" xfId="0" applyNumberFormat="1" applyFill="1" applyBorder="1" applyAlignment="1">
      <alignment horizontal="center"/>
    </xf>
    <xf numFmtId="2" fontId="0" fillId="2" borderId="36" xfId="0" applyNumberFormat="1" applyFill="1" applyBorder="1" applyAlignment="1">
      <alignment horizontal="center"/>
    </xf>
    <xf numFmtId="2" fontId="0" fillId="2" borderId="39" xfId="0" applyNumberFormat="1" applyFill="1" applyBorder="1" applyAlignment="1">
      <alignment horizontal="center"/>
    </xf>
    <xf numFmtId="2" fontId="0" fillId="2" borderId="40" xfId="0" applyNumberFormat="1" applyFill="1" applyBorder="1" applyAlignment="1">
      <alignment horizontal="center"/>
    </xf>
    <xf numFmtId="2" fontId="0" fillId="2" borderId="41" xfId="0" applyNumberFormat="1" applyFill="1" applyBorder="1" applyAlignment="1">
      <alignment horizontal="center"/>
    </xf>
    <xf numFmtId="0" fontId="0" fillId="2" borderId="18" xfId="0" applyFill="1" applyBorder="1" applyAlignment="1">
      <alignment horizontal="left"/>
    </xf>
    <xf numFmtId="0" fontId="0" fillId="2" borderId="19" xfId="0" applyFill="1" applyBorder="1" applyAlignment="1">
      <alignment horizontal="left"/>
    </xf>
    <xf numFmtId="0" fontId="0" fillId="2" borderId="20" xfId="0" applyFill="1" applyBorder="1" applyAlignment="1">
      <alignment horizontal="left"/>
    </xf>
    <xf numFmtId="2" fontId="0" fillId="2" borderId="21" xfId="0" applyNumberFormat="1" applyFill="1" applyBorder="1" applyAlignment="1">
      <alignment horizontal="center"/>
    </xf>
    <xf numFmtId="2" fontId="0" fillId="2" borderId="22" xfId="0" applyNumberFormat="1" applyFill="1" applyBorder="1" applyAlignment="1">
      <alignment horizontal="center"/>
    </xf>
    <xf numFmtId="2" fontId="0" fillId="2" borderId="23" xfId="0" applyNumberFormat="1" applyFill="1" applyBorder="1" applyAlignment="1">
      <alignment horizontal="center"/>
    </xf>
    <xf numFmtId="2" fontId="0" fillId="2" borderId="24" xfId="0" applyNumberFormat="1" applyFill="1" applyBorder="1" applyAlignment="1">
      <alignment horizontal="center"/>
    </xf>
    <xf numFmtId="2" fontId="0" fillId="2" borderId="25" xfId="0" applyNumberFormat="1" applyFill="1" applyBorder="1" applyAlignment="1">
      <alignment horizontal="center"/>
    </xf>
    <xf numFmtId="0" fontId="6" fillId="2" borderId="31" xfId="0" applyFont="1" applyFill="1" applyBorder="1" applyAlignment="1">
      <alignment horizontal="left"/>
    </xf>
    <xf numFmtId="0" fontId="6" fillId="2" borderId="32" xfId="0" applyFont="1" applyFill="1" applyBorder="1" applyAlignment="1">
      <alignment horizontal="left"/>
    </xf>
    <xf numFmtId="0" fontId="6" fillId="2" borderId="33" xfId="0" applyFont="1" applyFill="1" applyBorder="1" applyAlignment="1">
      <alignment horizontal="left"/>
    </xf>
    <xf numFmtId="0" fontId="5" fillId="2" borderId="5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left"/>
    </xf>
    <xf numFmtId="0" fontId="1" fillId="2" borderId="14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4" fillId="2" borderId="43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5" fillId="2" borderId="17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2" borderId="5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left"/>
    </xf>
    <xf numFmtId="0" fontId="1" fillId="2" borderId="7" xfId="0" applyFont="1" applyFill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</cellXfs>
  <cellStyles count="1">
    <cellStyle name="Normal" xfId="0" builtinId="0"/>
  </cellStyles>
  <dxfs count="60"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DASHBORD.xlsx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68579</xdr:colOff>
      <xdr:row>1</xdr:row>
      <xdr:rowOff>68580</xdr:rowOff>
    </xdr:from>
    <xdr:to>
      <xdr:col>2</xdr:col>
      <xdr:colOff>1016</xdr:colOff>
      <xdr:row>2</xdr:row>
      <xdr:rowOff>45720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9467714-96BA-5DD8-75F1-1BA3013CD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8179" y="259080"/>
          <a:ext cx="542037" cy="419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9DDCE-687B-4DE3-803C-D3692BD7B6B1}">
  <dimension ref="A1:N33"/>
  <sheetViews>
    <sheetView tabSelected="1" workbookViewId="0">
      <selection activeCell="A2" sqref="A2"/>
    </sheetView>
  </sheetViews>
  <sheetFormatPr defaultRowHeight="15" x14ac:dyDescent="0.25"/>
  <cols>
    <col min="1" max="1" width="101.85546875" customWidth="1"/>
    <col min="6" max="6" width="8.42578125" customWidth="1"/>
    <col min="7" max="7" width="13.42578125" customWidth="1"/>
    <col min="13" max="13" width="14.140625" customWidth="1"/>
  </cols>
  <sheetData>
    <row r="1" spans="1:14" ht="15.75" thickBot="1" x14ac:dyDescent="0.3"/>
    <row r="2" spans="1:14" ht="34.9" customHeight="1" thickBot="1" x14ac:dyDescent="0.3">
      <c r="A2" s="30" t="s">
        <v>54</v>
      </c>
      <c r="B2" s="16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8"/>
    </row>
    <row r="3" spans="1:14" ht="32.25" thickBot="1" x14ac:dyDescent="0.55000000000000004">
      <c r="A3" s="30" t="s">
        <v>25</v>
      </c>
      <c r="B3" s="19"/>
      <c r="C3" s="31" t="s">
        <v>37</v>
      </c>
      <c r="D3" s="32"/>
      <c r="E3" s="32"/>
      <c r="F3" s="32"/>
      <c r="G3" s="15">
        <v>2026</v>
      </c>
      <c r="H3" s="24"/>
      <c r="I3" s="33" t="s">
        <v>36</v>
      </c>
      <c r="J3" s="34"/>
      <c r="K3" s="34"/>
      <c r="L3" s="34"/>
      <c r="M3" s="14" t="s">
        <v>55</v>
      </c>
      <c r="N3" s="20"/>
    </row>
    <row r="4" spans="1:14" x14ac:dyDescent="0.25">
      <c r="A4" s="30" t="s">
        <v>26</v>
      </c>
      <c r="B4" s="19"/>
      <c r="C4" s="35">
        <f>EOMONTH(DATA!I4,0)</f>
        <v>46053</v>
      </c>
      <c r="D4" s="36"/>
      <c r="E4" s="36"/>
      <c r="F4" s="36"/>
      <c r="G4" s="37"/>
      <c r="H4" s="24"/>
      <c r="I4" s="35">
        <f>DATEVALUE(1&amp;M3&amp;DATA!G3)</f>
        <v>46023</v>
      </c>
      <c r="J4" s="36"/>
      <c r="K4" s="36"/>
      <c r="L4" s="36"/>
      <c r="M4" s="37"/>
      <c r="N4" s="20"/>
    </row>
    <row r="5" spans="1:14" x14ac:dyDescent="0.25">
      <c r="A5" s="30" t="s">
        <v>27</v>
      </c>
      <c r="B5" s="19"/>
      <c r="C5" s="38"/>
      <c r="D5" s="39"/>
      <c r="E5" s="39"/>
      <c r="F5" s="39"/>
      <c r="G5" s="40"/>
      <c r="H5" s="24"/>
      <c r="I5" s="38"/>
      <c r="J5" s="39"/>
      <c r="K5" s="39"/>
      <c r="L5" s="39"/>
      <c r="M5" s="40"/>
      <c r="N5" s="20"/>
    </row>
    <row r="6" spans="1:14" ht="15.75" thickBot="1" x14ac:dyDescent="0.3">
      <c r="A6" s="30" t="s">
        <v>28</v>
      </c>
      <c r="B6" s="19"/>
      <c r="C6" s="41"/>
      <c r="D6" s="42"/>
      <c r="E6" s="42"/>
      <c r="F6" s="42"/>
      <c r="G6" s="43"/>
      <c r="H6" s="24"/>
      <c r="I6" s="41"/>
      <c r="J6" s="42"/>
      <c r="K6" s="42"/>
      <c r="L6" s="42"/>
      <c r="M6" s="43"/>
      <c r="N6" s="20"/>
    </row>
    <row r="7" spans="1:14" ht="39" customHeight="1" thickBot="1" x14ac:dyDescent="0.3">
      <c r="A7" s="30" t="s">
        <v>29</v>
      </c>
      <c r="B7" s="21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3"/>
    </row>
    <row r="8" spans="1:14" x14ac:dyDescent="0.25">
      <c r="A8" s="30" t="s">
        <v>30</v>
      </c>
    </row>
    <row r="9" spans="1:14" x14ac:dyDescent="0.25">
      <c r="A9" s="30" t="s">
        <v>31</v>
      </c>
    </row>
    <row r="10" spans="1:14" x14ac:dyDescent="0.25">
      <c r="A10" s="30" t="s">
        <v>32</v>
      </c>
    </row>
    <row r="11" spans="1:14" x14ac:dyDescent="0.25">
      <c r="A11" s="30" t="s">
        <v>33</v>
      </c>
    </row>
    <row r="12" spans="1:14" x14ac:dyDescent="0.25">
      <c r="A12" s="30" t="s">
        <v>34</v>
      </c>
    </row>
    <row r="13" spans="1:14" x14ac:dyDescent="0.25">
      <c r="A13" s="30" t="s">
        <v>35</v>
      </c>
    </row>
    <row r="14" spans="1:14" x14ac:dyDescent="0.25">
      <c r="A14" s="30"/>
    </row>
    <row r="15" spans="1:14" x14ac:dyDescent="0.25">
      <c r="A15" s="30"/>
    </row>
    <row r="16" spans="1:14" x14ac:dyDescent="0.25">
      <c r="A16" s="30"/>
    </row>
    <row r="17" spans="1:1" x14ac:dyDescent="0.25">
      <c r="A17" s="30"/>
    </row>
    <row r="18" spans="1:1" x14ac:dyDescent="0.25">
      <c r="A18" s="30"/>
    </row>
    <row r="19" spans="1:1" x14ac:dyDescent="0.25">
      <c r="A19" s="30"/>
    </row>
    <row r="20" spans="1:1" x14ac:dyDescent="0.25">
      <c r="A20" s="30"/>
    </row>
    <row r="21" spans="1:1" x14ac:dyDescent="0.25">
      <c r="A21" s="30"/>
    </row>
    <row r="22" spans="1:1" x14ac:dyDescent="0.25">
      <c r="A22" s="30"/>
    </row>
    <row r="23" spans="1:1" x14ac:dyDescent="0.25">
      <c r="A23" s="30"/>
    </row>
    <row r="24" spans="1:1" x14ac:dyDescent="0.25">
      <c r="A24" s="30"/>
    </row>
    <row r="25" spans="1:1" x14ac:dyDescent="0.25">
      <c r="A25" s="30"/>
    </row>
    <row r="26" spans="1:1" x14ac:dyDescent="0.25">
      <c r="A26" s="30"/>
    </row>
    <row r="27" spans="1:1" x14ac:dyDescent="0.25">
      <c r="A27" s="30"/>
    </row>
    <row r="28" spans="1:1" x14ac:dyDescent="0.25">
      <c r="A28" s="30"/>
    </row>
    <row r="29" spans="1:1" x14ac:dyDescent="0.25">
      <c r="A29" s="30"/>
    </row>
    <row r="30" spans="1:1" x14ac:dyDescent="0.25">
      <c r="A30" s="30"/>
    </row>
    <row r="31" spans="1:1" x14ac:dyDescent="0.25">
      <c r="A31" s="30"/>
    </row>
    <row r="32" spans="1:1" x14ac:dyDescent="0.25">
      <c r="A32" s="30"/>
    </row>
    <row r="33" spans="1:1" x14ac:dyDescent="0.25">
      <c r="A33" s="30"/>
    </row>
  </sheetData>
  <mergeCells count="4">
    <mergeCell ref="C3:F3"/>
    <mergeCell ref="I3:L3"/>
    <mergeCell ref="C4:G6"/>
    <mergeCell ref="I4:M6"/>
  </mergeCells>
  <phoneticPr fontId="9" type="noConversion"/>
  <dataValidations count="2">
    <dataValidation type="list" allowBlank="1" showInputMessage="1" showErrorMessage="1" sqref="G3" xr:uid="{3250E88D-DE37-4DBF-8E94-3545E65DC615}">
      <formula1>"2026,2027"</formula1>
    </dataValidation>
    <dataValidation type="list" allowBlank="1" showInputMessage="1" showErrorMessage="1" sqref="M3" xr:uid="{7AD76D61-48F5-43C6-ADB2-F3FDC419B945}">
      <formula1>$A$2:$A$13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3F466-0ADE-421C-9122-2E3DF4858CE9}">
  <sheetPr>
    <pageSetUpPr fitToPage="1"/>
  </sheetPr>
  <dimension ref="A1:AG36"/>
  <sheetViews>
    <sheetView workbookViewId="0">
      <selection activeCell="B12" sqref="B12:AF13"/>
    </sheetView>
  </sheetViews>
  <sheetFormatPr defaultRowHeight="15" x14ac:dyDescent="0.25"/>
  <cols>
    <col min="1" max="1" width="16.5703125" bestFit="1" customWidth="1"/>
    <col min="2" max="2" width="4.7109375" bestFit="1" customWidth="1"/>
    <col min="3" max="3" width="4.5703125" bestFit="1" customWidth="1"/>
    <col min="4" max="4" width="5.28515625" bestFit="1" customWidth="1"/>
    <col min="5" max="5" width="4.7109375" bestFit="1" customWidth="1"/>
    <col min="6" max="6" width="5.140625" bestFit="1" customWidth="1"/>
    <col min="7" max="7" width="4.42578125" bestFit="1" customWidth="1"/>
    <col min="8" max="8" width="5.42578125" bestFit="1" customWidth="1"/>
    <col min="9" max="9" width="4" bestFit="1" customWidth="1"/>
    <col min="10" max="10" width="4.5703125" bestFit="1" customWidth="1"/>
    <col min="11" max="11" width="5.28515625" bestFit="1" customWidth="1"/>
    <col min="12" max="12" width="4.140625" bestFit="1" customWidth="1"/>
    <col min="13" max="13" width="5.140625" bestFit="1" customWidth="1"/>
    <col min="14" max="14" width="4.42578125" bestFit="1" customWidth="1"/>
    <col min="15" max="15" width="5.42578125" bestFit="1" customWidth="1"/>
    <col min="16" max="16" width="4" bestFit="1" customWidth="1"/>
    <col min="17" max="17" width="4.5703125" bestFit="1" customWidth="1"/>
    <col min="18" max="18" width="5.28515625" bestFit="1" customWidth="1"/>
    <col min="19" max="19" width="4.140625" bestFit="1" customWidth="1"/>
    <col min="20" max="20" width="5.140625" bestFit="1" customWidth="1"/>
    <col min="21" max="21" width="4.42578125" bestFit="1" customWidth="1"/>
    <col min="22" max="22" width="3.7109375" bestFit="1" customWidth="1"/>
    <col min="23" max="23" width="4" bestFit="1" customWidth="1"/>
    <col min="24" max="24" width="4.5703125" bestFit="1" customWidth="1"/>
    <col min="25" max="25" width="5.28515625" bestFit="1" customWidth="1"/>
    <col min="26" max="26" width="4.5703125" bestFit="1" customWidth="1"/>
    <col min="27" max="27" width="5.140625" bestFit="1" customWidth="1"/>
    <col min="28" max="28" width="4.42578125" bestFit="1" customWidth="1"/>
    <col min="29" max="29" width="3.7109375" bestFit="1" customWidth="1"/>
    <col min="30" max="30" width="4" bestFit="1" customWidth="1"/>
    <col min="31" max="31" width="4.5703125" bestFit="1" customWidth="1"/>
    <col min="32" max="32" width="5.28515625" bestFit="1" customWidth="1"/>
    <col min="33" max="33" width="7.7109375" bestFit="1" customWidth="1"/>
  </cols>
  <sheetData>
    <row r="1" spans="1:33" ht="14.45" customHeight="1" x14ac:dyDescent="0.65"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</row>
    <row r="2" spans="1:33" ht="14.45" customHeight="1" x14ac:dyDescent="0.65"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</row>
    <row r="3" spans="1:33" ht="14.45" customHeight="1" x14ac:dyDescent="0.65"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</row>
    <row r="4" spans="1:33" ht="14.45" customHeight="1" x14ac:dyDescent="0.65"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</row>
    <row r="5" spans="1:33" ht="21" customHeight="1" x14ac:dyDescent="0.45"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</row>
    <row r="6" spans="1:33" ht="14.45" customHeight="1" x14ac:dyDescent="0.45">
      <c r="F6" s="1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</row>
    <row r="7" spans="1:33" ht="22.5" x14ac:dyDescent="0.25">
      <c r="A7" s="96" t="s">
        <v>54</v>
      </c>
      <c r="B7" s="97"/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97"/>
      <c r="AC7" s="97"/>
      <c r="AD7" s="97"/>
      <c r="AE7" s="97"/>
      <c r="AF7" s="97"/>
      <c r="AG7" s="97"/>
    </row>
    <row r="8" spans="1:33" ht="15.75" thickBot="1" x14ac:dyDescent="0.3"/>
    <row r="9" spans="1:33" ht="15.75" thickBot="1" x14ac:dyDescent="0.3">
      <c r="A9" s="2" t="s">
        <v>0</v>
      </c>
      <c r="B9" s="79" t="s">
        <v>40</v>
      </c>
      <c r="C9" s="80"/>
      <c r="D9" s="80"/>
      <c r="E9" s="80"/>
      <c r="F9" s="80"/>
      <c r="G9" s="80"/>
      <c r="H9" s="80"/>
      <c r="I9" s="81"/>
      <c r="J9" s="3"/>
      <c r="K9" s="98" t="s">
        <v>1</v>
      </c>
      <c r="L9" s="99"/>
      <c r="M9" s="99"/>
      <c r="N9" s="99"/>
      <c r="O9" s="100"/>
      <c r="P9" s="85">
        <v>104</v>
      </c>
      <c r="Q9" s="86"/>
      <c r="R9" s="86"/>
      <c r="S9" s="86"/>
      <c r="T9" s="86"/>
      <c r="U9" s="86"/>
      <c r="V9" s="87"/>
      <c r="W9" s="3"/>
      <c r="X9" s="98" t="s">
        <v>2</v>
      </c>
      <c r="Y9" s="99"/>
      <c r="Z9" s="99"/>
      <c r="AA9" s="99"/>
      <c r="AB9" s="100"/>
      <c r="AC9" s="101"/>
      <c r="AD9" s="102"/>
      <c r="AE9" s="102"/>
      <c r="AF9" s="102"/>
      <c r="AG9" s="103"/>
    </row>
    <row r="10" spans="1:33" ht="15.75" thickBot="1" x14ac:dyDescent="0.3">
      <c r="A10" s="4" t="s">
        <v>3</v>
      </c>
      <c r="B10" s="79">
        <v>2581081227</v>
      </c>
      <c r="C10" s="80"/>
      <c r="D10" s="80"/>
      <c r="E10" s="80"/>
      <c r="F10" s="80"/>
      <c r="G10" s="80"/>
      <c r="H10" s="80"/>
      <c r="I10" s="81"/>
      <c r="J10" s="3"/>
      <c r="K10" s="82" t="s">
        <v>4</v>
      </c>
      <c r="L10" s="83"/>
      <c r="M10" s="83"/>
      <c r="N10" s="83"/>
      <c r="O10" s="84"/>
      <c r="P10" s="85" t="s">
        <v>39</v>
      </c>
      <c r="Q10" s="86"/>
      <c r="R10" s="86"/>
      <c r="S10" s="86"/>
      <c r="T10" s="86"/>
      <c r="U10" s="86"/>
      <c r="V10" s="87"/>
      <c r="W10" s="3"/>
      <c r="X10" s="82" t="s">
        <v>5</v>
      </c>
      <c r="Y10" s="83"/>
      <c r="Z10" s="83"/>
      <c r="AA10" s="83"/>
      <c r="AB10" s="84"/>
      <c r="AC10" s="85"/>
      <c r="AD10" s="86"/>
      <c r="AE10" s="86"/>
      <c r="AF10" s="86"/>
      <c r="AG10" s="87"/>
    </row>
    <row r="11" spans="1:33" ht="15.75" thickBot="1" x14ac:dyDescent="0.3"/>
    <row r="12" spans="1:33" ht="16.5" thickBot="1" x14ac:dyDescent="0.3">
      <c r="A12" s="5" t="s">
        <v>6</v>
      </c>
      <c r="B12" s="12">
        <f>DATA!$I$4</f>
        <v>46023</v>
      </c>
      <c r="C12" s="12">
        <f>IF(B12&lt;DATA!$C$4,B12+1,"")</f>
        <v>46024</v>
      </c>
      <c r="D12" s="12">
        <f>IF(C12&lt;DATA!$C$4,C12+1,"")</f>
        <v>46025</v>
      </c>
      <c r="E12" s="12">
        <f>IF(D12&lt;DATA!$C$4,D12+1,"")</f>
        <v>46026</v>
      </c>
      <c r="F12" s="12">
        <f>IF(E12&lt;DATA!$C$4,E12+1,"")</f>
        <v>46027</v>
      </c>
      <c r="G12" s="12">
        <f>IF(F12&lt;DATA!$C$4,F12+1,"")</f>
        <v>46028</v>
      </c>
      <c r="H12" s="12">
        <f>IF(G12&lt;DATA!$C$4,G12+1,"")</f>
        <v>46029</v>
      </c>
      <c r="I12" s="12">
        <f>IF(H12&lt;DATA!$C$4,H12+1,"")</f>
        <v>46030</v>
      </c>
      <c r="J12" s="12">
        <f>IF(I12&lt;DATA!$C$4,I12+1,"")</f>
        <v>46031</v>
      </c>
      <c r="K12" s="12">
        <f>IF(J12&lt;DATA!$C$4,J12+1,"")</f>
        <v>46032</v>
      </c>
      <c r="L12" s="12">
        <f>IF(K12&lt;DATA!$C$4,K12+1,"")</f>
        <v>46033</v>
      </c>
      <c r="M12" s="12">
        <f>IF(L12&lt;DATA!$C$4,L12+1,"")</f>
        <v>46034</v>
      </c>
      <c r="N12" s="12">
        <f>IF(M12&lt;DATA!$C$4,M12+1,"")</f>
        <v>46035</v>
      </c>
      <c r="O12" s="12">
        <f>IF(N12&lt;DATA!$C$4,N12+1,"")</f>
        <v>46036</v>
      </c>
      <c r="P12" s="12">
        <f>IF(O12&lt;DATA!$C$4,O12+1,"")</f>
        <v>46037</v>
      </c>
      <c r="Q12" s="12">
        <f>IF(P12&lt;DATA!$C$4,P12+1,"")</f>
        <v>46038</v>
      </c>
      <c r="R12" s="12">
        <f>IF(Q12&lt;DATA!$C$4,Q12+1,"")</f>
        <v>46039</v>
      </c>
      <c r="S12" s="12">
        <f>IF(R12&lt;DATA!$C$4,R12+1,"")</f>
        <v>46040</v>
      </c>
      <c r="T12" s="12">
        <f>IF(S12&lt;DATA!$C$4,S12+1,"")</f>
        <v>46041</v>
      </c>
      <c r="U12" s="12">
        <f>IF(T12&lt;DATA!$C$4,T12+1,"")</f>
        <v>46042</v>
      </c>
      <c r="V12" s="12">
        <f>IF(U12&lt;DATA!$C$4,U12+1,"")</f>
        <v>46043</v>
      </c>
      <c r="W12" s="12">
        <f>IF(V12&lt;DATA!$C$4,V12+1,"")</f>
        <v>46044</v>
      </c>
      <c r="X12" s="12">
        <f>IF(W12&lt;DATA!$C$4,W12+1,"")</f>
        <v>46045</v>
      </c>
      <c r="Y12" s="12">
        <f>IF(X12&lt;DATA!$C$4,X12+1,"")</f>
        <v>46046</v>
      </c>
      <c r="Z12" s="12">
        <f>IF(Y12&lt;DATA!$C$4,Y12+1,"")</f>
        <v>46047</v>
      </c>
      <c r="AA12" s="12">
        <f>IF(Z12&lt;DATA!$C$4,Z12+1,"")</f>
        <v>46048</v>
      </c>
      <c r="AB12" s="12">
        <f>IF(AA12&lt;DATA!$C$4,AA12+1,"")</f>
        <v>46049</v>
      </c>
      <c r="AC12" s="12">
        <f>IF(AB12&lt;DATA!$C$4,AB12+1,"")</f>
        <v>46050</v>
      </c>
      <c r="AD12" s="12">
        <f>IF(AC12&lt;DATA!$C$4,AC12+1,"")</f>
        <v>46051</v>
      </c>
      <c r="AE12" s="12">
        <f>IF(AD12&lt;DATA!$C$4,AD12+1,"")</f>
        <v>46052</v>
      </c>
      <c r="AF12" s="12">
        <f>IF(AE12&lt;DATA!$C$4,AE12+1,"")</f>
        <v>46053</v>
      </c>
      <c r="AG12" s="88" t="s">
        <v>7</v>
      </c>
    </row>
    <row r="13" spans="1:33" ht="16.5" thickBot="1" x14ac:dyDescent="0.3">
      <c r="A13" s="5" t="s">
        <v>8</v>
      </c>
      <c r="B13" s="11" t="str">
        <f t="shared" ref="B13:AF13" si="0">TEXT(B12,"ddd")</f>
        <v>Thu</v>
      </c>
      <c r="C13" s="11" t="str">
        <f t="shared" si="0"/>
        <v>Fri</v>
      </c>
      <c r="D13" s="11" t="str">
        <f t="shared" si="0"/>
        <v>Sat</v>
      </c>
      <c r="E13" s="11" t="str">
        <f t="shared" si="0"/>
        <v>Sun</v>
      </c>
      <c r="F13" s="11" t="str">
        <f t="shared" si="0"/>
        <v>Mon</v>
      </c>
      <c r="G13" s="11" t="str">
        <f t="shared" si="0"/>
        <v>Tue</v>
      </c>
      <c r="H13" s="11" t="str">
        <f t="shared" si="0"/>
        <v>Wed</v>
      </c>
      <c r="I13" s="11" t="str">
        <f t="shared" si="0"/>
        <v>Thu</v>
      </c>
      <c r="J13" s="11" t="str">
        <f t="shared" si="0"/>
        <v>Fri</v>
      </c>
      <c r="K13" s="11" t="str">
        <f t="shared" si="0"/>
        <v>Sat</v>
      </c>
      <c r="L13" s="11" t="str">
        <f t="shared" si="0"/>
        <v>Sun</v>
      </c>
      <c r="M13" s="11" t="str">
        <f t="shared" si="0"/>
        <v>Mon</v>
      </c>
      <c r="N13" s="11" t="str">
        <f t="shared" si="0"/>
        <v>Tue</v>
      </c>
      <c r="O13" s="11" t="str">
        <f t="shared" si="0"/>
        <v>Wed</v>
      </c>
      <c r="P13" s="11" t="str">
        <f t="shared" si="0"/>
        <v>Thu</v>
      </c>
      <c r="Q13" s="11" t="str">
        <f t="shared" si="0"/>
        <v>Fri</v>
      </c>
      <c r="R13" s="11" t="str">
        <f t="shared" si="0"/>
        <v>Sat</v>
      </c>
      <c r="S13" s="11" t="str">
        <f t="shared" si="0"/>
        <v>Sun</v>
      </c>
      <c r="T13" s="11" t="str">
        <f t="shared" si="0"/>
        <v>Mon</v>
      </c>
      <c r="U13" s="11" t="str">
        <f t="shared" si="0"/>
        <v>Tue</v>
      </c>
      <c r="V13" s="11" t="str">
        <f t="shared" si="0"/>
        <v>Wed</v>
      </c>
      <c r="W13" s="11" t="str">
        <f t="shared" si="0"/>
        <v>Thu</v>
      </c>
      <c r="X13" s="11" t="str">
        <f t="shared" si="0"/>
        <v>Fri</v>
      </c>
      <c r="Y13" s="11" t="str">
        <f t="shared" si="0"/>
        <v>Sat</v>
      </c>
      <c r="Z13" s="11" t="str">
        <f t="shared" si="0"/>
        <v>Sun</v>
      </c>
      <c r="AA13" s="11" t="str">
        <f t="shared" si="0"/>
        <v>Mon</v>
      </c>
      <c r="AB13" s="11" t="str">
        <f t="shared" si="0"/>
        <v>Tue</v>
      </c>
      <c r="AC13" s="11" t="str">
        <f t="shared" si="0"/>
        <v>Wed</v>
      </c>
      <c r="AD13" s="11" t="str">
        <f t="shared" si="0"/>
        <v>Thu</v>
      </c>
      <c r="AE13" s="11" t="str">
        <f t="shared" si="0"/>
        <v>Fri</v>
      </c>
      <c r="AF13" s="11" t="str">
        <f t="shared" si="0"/>
        <v>Sat</v>
      </c>
      <c r="AG13" s="89"/>
    </row>
    <row r="14" spans="1:33" ht="16.5" thickBot="1" x14ac:dyDescent="0.3">
      <c r="A14" s="6" t="s">
        <v>9</v>
      </c>
      <c r="B14" s="13">
        <v>8</v>
      </c>
      <c r="C14" s="13">
        <v>8</v>
      </c>
      <c r="D14" s="13">
        <v>8</v>
      </c>
      <c r="E14" s="13">
        <v>8</v>
      </c>
      <c r="F14" s="13">
        <v>8</v>
      </c>
      <c r="G14" s="13"/>
      <c r="H14" s="13">
        <v>8</v>
      </c>
      <c r="I14" s="13">
        <v>8</v>
      </c>
      <c r="J14" s="13">
        <v>8</v>
      </c>
      <c r="K14" s="13">
        <v>8</v>
      </c>
      <c r="L14" s="13">
        <v>8</v>
      </c>
      <c r="M14" s="13">
        <v>8</v>
      </c>
      <c r="N14" s="13"/>
      <c r="O14" s="13">
        <v>8</v>
      </c>
      <c r="P14" s="13">
        <v>8</v>
      </c>
      <c r="Q14" s="13">
        <v>8</v>
      </c>
      <c r="R14" s="13">
        <v>8</v>
      </c>
      <c r="S14" s="13">
        <v>8</v>
      </c>
      <c r="T14" s="13">
        <v>8</v>
      </c>
      <c r="U14" s="13"/>
      <c r="V14" s="13">
        <v>8</v>
      </c>
      <c r="W14" s="13">
        <v>8</v>
      </c>
      <c r="X14" s="13">
        <v>8</v>
      </c>
      <c r="Y14" s="13">
        <v>8</v>
      </c>
      <c r="Z14" s="13">
        <v>8</v>
      </c>
      <c r="AA14" s="13">
        <v>8</v>
      </c>
      <c r="AB14" s="13"/>
      <c r="AC14" s="13">
        <v>8</v>
      </c>
      <c r="AD14" s="13">
        <v>8</v>
      </c>
      <c r="AE14" s="13">
        <v>8</v>
      </c>
      <c r="AF14" s="13"/>
      <c r="AG14" s="5">
        <f>SUM(B14:AF14)</f>
        <v>208</v>
      </c>
    </row>
    <row r="15" spans="1:33" ht="16.5" thickBot="1" x14ac:dyDescent="0.3">
      <c r="A15" s="7" t="s">
        <v>10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8">
        <f>SUM(B15:AF15)</f>
        <v>0</v>
      </c>
    </row>
    <row r="16" spans="1:33" ht="15.75" thickBot="1" x14ac:dyDescent="0.3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6.5" thickBot="1" x14ac:dyDescent="0.3">
      <c r="A17" s="1"/>
      <c r="B17" s="90" t="s">
        <v>11</v>
      </c>
      <c r="C17" s="91"/>
      <c r="D17" s="91"/>
      <c r="E17" s="91"/>
      <c r="F17" s="92"/>
      <c r="G17" s="90">
        <f>COUNTIF(B14:AF14,"A")</f>
        <v>0</v>
      </c>
      <c r="H17" s="91"/>
      <c r="I17" s="92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90" t="s">
        <v>12</v>
      </c>
      <c r="V17" s="91"/>
      <c r="W17" s="91"/>
      <c r="X17" s="91"/>
      <c r="Y17" s="91"/>
      <c r="Z17" s="92"/>
      <c r="AA17" s="90">
        <f>AG14+AG15</f>
        <v>208</v>
      </c>
      <c r="AB17" s="91"/>
      <c r="AC17" s="91"/>
      <c r="AD17" s="92"/>
      <c r="AE17" s="1"/>
      <c r="AF17" s="1"/>
      <c r="AG17" s="1"/>
    </row>
    <row r="18" spans="1:33" ht="15.75" thickBo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9.5" thickBot="1" x14ac:dyDescent="0.35">
      <c r="A19" s="93" t="s">
        <v>13</v>
      </c>
      <c r="B19" s="94"/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4"/>
      <c r="AB19" s="94"/>
      <c r="AC19" s="94"/>
      <c r="AD19" s="94"/>
      <c r="AE19" s="94"/>
      <c r="AF19" s="94"/>
      <c r="AG19" s="95"/>
    </row>
    <row r="20" spans="1:33" ht="19.5" thickBot="1" x14ac:dyDescent="0.35">
      <c r="A20" s="76" t="s">
        <v>14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8"/>
      <c r="Q20" s="76" t="s">
        <v>15</v>
      </c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77"/>
      <c r="AD20" s="77"/>
      <c r="AE20" s="77"/>
      <c r="AF20" s="77"/>
      <c r="AG20" s="78"/>
    </row>
    <row r="21" spans="1:33" x14ac:dyDescent="0.25">
      <c r="A21" s="65" t="s">
        <v>16</v>
      </c>
      <c r="B21" s="66"/>
      <c r="C21" s="66"/>
      <c r="D21" s="66"/>
      <c r="E21" s="67"/>
      <c r="F21" s="68">
        <v>1300</v>
      </c>
      <c r="G21" s="69"/>
      <c r="H21" s="69"/>
      <c r="I21" s="69"/>
      <c r="J21" s="69"/>
      <c r="K21" s="69"/>
      <c r="L21" s="69"/>
      <c r="M21" s="69"/>
      <c r="N21" s="69"/>
      <c r="O21" s="69"/>
      <c r="P21" s="70"/>
      <c r="Q21" s="65" t="s">
        <v>17</v>
      </c>
      <c r="R21" s="66"/>
      <c r="S21" s="66"/>
      <c r="T21" s="66"/>
      <c r="U21" s="66"/>
      <c r="V21" s="66"/>
      <c r="W21" s="66"/>
      <c r="X21" s="66"/>
      <c r="Y21" s="66"/>
      <c r="Z21" s="67"/>
      <c r="AA21" s="71">
        <f>F21/30*G17*2</f>
        <v>0</v>
      </c>
      <c r="AB21" s="71"/>
      <c r="AC21" s="71"/>
      <c r="AD21" s="71"/>
      <c r="AE21" s="71"/>
      <c r="AF21" s="71"/>
      <c r="AG21" s="72"/>
    </row>
    <row r="22" spans="1:33" x14ac:dyDescent="0.25">
      <c r="A22" s="49" t="s">
        <v>18</v>
      </c>
      <c r="B22" s="50"/>
      <c r="C22" s="50"/>
      <c r="D22" s="50"/>
      <c r="E22" s="51"/>
      <c r="F22" s="52">
        <v>0</v>
      </c>
      <c r="G22" s="53"/>
      <c r="H22" s="53"/>
      <c r="I22" s="53"/>
      <c r="J22" s="53"/>
      <c r="K22" s="53"/>
      <c r="L22" s="53"/>
      <c r="M22" s="53"/>
      <c r="N22" s="53"/>
      <c r="O22" s="53"/>
      <c r="P22" s="54"/>
      <c r="Q22" s="73" t="s">
        <v>19</v>
      </c>
      <c r="R22" s="74"/>
      <c r="S22" s="74"/>
      <c r="T22" s="74"/>
      <c r="U22" s="74"/>
      <c r="V22" s="74"/>
      <c r="W22" s="74"/>
      <c r="X22" s="74"/>
      <c r="Y22" s="74"/>
      <c r="Z22" s="75"/>
      <c r="AA22" s="55">
        <v>0</v>
      </c>
      <c r="AB22" s="55"/>
      <c r="AC22" s="55"/>
      <c r="AD22" s="55"/>
      <c r="AE22" s="55"/>
      <c r="AF22" s="55"/>
      <c r="AG22" s="56"/>
    </row>
    <row r="23" spans="1:33" x14ac:dyDescent="0.25">
      <c r="A23" s="49" t="s">
        <v>10</v>
      </c>
      <c r="B23" s="50"/>
      <c r="C23" s="50"/>
      <c r="D23" s="50"/>
      <c r="E23" s="51"/>
      <c r="F23" s="52">
        <f>F21/30/8*1.5*AG15</f>
        <v>0</v>
      </c>
      <c r="G23" s="53"/>
      <c r="H23" s="53"/>
      <c r="I23" s="53"/>
      <c r="J23" s="53"/>
      <c r="K23" s="53"/>
      <c r="L23" s="53"/>
      <c r="M23" s="53"/>
      <c r="N23" s="53"/>
      <c r="O23" s="53"/>
      <c r="P23" s="54"/>
      <c r="Q23" s="49" t="s">
        <v>20</v>
      </c>
      <c r="R23" s="50"/>
      <c r="S23" s="50"/>
      <c r="T23" s="50"/>
      <c r="U23" s="50"/>
      <c r="V23" s="50"/>
      <c r="W23" s="50"/>
      <c r="X23" s="50"/>
      <c r="Y23" s="50"/>
      <c r="Z23" s="51"/>
      <c r="AA23" s="55">
        <v>0</v>
      </c>
      <c r="AB23" s="55"/>
      <c r="AC23" s="55"/>
      <c r="AD23" s="55"/>
      <c r="AE23" s="55"/>
      <c r="AF23" s="55"/>
      <c r="AG23" s="56"/>
    </row>
    <row r="24" spans="1:33" ht="15.75" thickBot="1" x14ac:dyDescent="0.3">
      <c r="A24" s="57" t="s">
        <v>21</v>
      </c>
      <c r="B24" s="58"/>
      <c r="C24" s="58"/>
      <c r="D24" s="58"/>
      <c r="E24" s="59"/>
      <c r="F24" s="60">
        <f>SUM(F21:P23)</f>
        <v>1300</v>
      </c>
      <c r="G24" s="61"/>
      <c r="H24" s="61"/>
      <c r="I24" s="61"/>
      <c r="J24" s="61"/>
      <c r="K24" s="61"/>
      <c r="L24" s="61"/>
      <c r="M24" s="61"/>
      <c r="N24" s="61"/>
      <c r="O24" s="61"/>
      <c r="P24" s="62"/>
      <c r="Q24" s="57" t="s">
        <v>21</v>
      </c>
      <c r="R24" s="58"/>
      <c r="S24" s="58"/>
      <c r="T24" s="58"/>
      <c r="U24" s="58"/>
      <c r="V24" s="58"/>
      <c r="W24" s="58"/>
      <c r="X24" s="58"/>
      <c r="Y24" s="58"/>
      <c r="Z24" s="59"/>
      <c r="AA24" s="63">
        <f>SUM(AA21:AG23)</f>
        <v>0</v>
      </c>
      <c r="AB24" s="63"/>
      <c r="AC24" s="63"/>
      <c r="AD24" s="63"/>
      <c r="AE24" s="63"/>
      <c r="AF24" s="63"/>
      <c r="AG24" s="64"/>
    </row>
    <row r="25" spans="1:33" ht="15.75" thickBo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21.75" thickBot="1" x14ac:dyDescent="0.3">
      <c r="A26" s="9"/>
      <c r="B26" s="9"/>
      <c r="C26" s="9"/>
      <c r="D26" s="9"/>
      <c r="E26" s="44" t="s">
        <v>22</v>
      </c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6"/>
      <c r="S26" s="47">
        <f>F24-AA24</f>
        <v>1300</v>
      </c>
      <c r="T26" s="45"/>
      <c r="U26" s="45"/>
      <c r="V26" s="45"/>
      <c r="W26" s="45"/>
      <c r="X26" s="45"/>
      <c r="Y26" s="45"/>
      <c r="Z26" s="46"/>
      <c r="AA26" s="10"/>
      <c r="AB26" s="10"/>
      <c r="AC26" s="10"/>
      <c r="AD26" s="10"/>
      <c r="AE26" s="10"/>
      <c r="AF26" s="10"/>
      <c r="AG26" s="10"/>
    </row>
    <row r="36" spans="2:28" ht="18.75" x14ac:dyDescent="0.3">
      <c r="B36" s="48" t="s">
        <v>23</v>
      </c>
      <c r="C36" s="48"/>
      <c r="D36" s="48"/>
      <c r="E36" s="48"/>
      <c r="F36" s="48"/>
      <c r="G36" s="48"/>
      <c r="H36" s="48"/>
      <c r="V36" s="48" t="s">
        <v>24</v>
      </c>
      <c r="W36" s="48"/>
      <c r="X36" s="48"/>
      <c r="Y36" s="48"/>
      <c r="Z36" s="48"/>
      <c r="AA36" s="48"/>
      <c r="AB36" s="48"/>
    </row>
  </sheetData>
  <mergeCells count="39">
    <mergeCell ref="A7:AG7"/>
    <mergeCell ref="B9:I9"/>
    <mergeCell ref="K9:O9"/>
    <mergeCell ref="P9:V9"/>
    <mergeCell ref="X9:AB9"/>
    <mergeCell ref="AC9:AG9"/>
    <mergeCell ref="A20:P20"/>
    <mergeCell ref="Q20:AG20"/>
    <mergeCell ref="B10:I10"/>
    <mergeCell ref="K10:O10"/>
    <mergeCell ref="P10:V10"/>
    <mergeCell ref="X10:AB10"/>
    <mergeCell ref="AC10:AG10"/>
    <mergeCell ref="AG12:AG13"/>
    <mergeCell ref="B17:F17"/>
    <mergeCell ref="G17:I17"/>
    <mergeCell ref="U17:Z17"/>
    <mergeCell ref="AA17:AD17"/>
    <mergeCell ref="A19:AG19"/>
    <mergeCell ref="A21:E21"/>
    <mergeCell ref="F21:P21"/>
    <mergeCell ref="Q21:Z21"/>
    <mergeCell ref="AA21:AG21"/>
    <mergeCell ref="A22:E22"/>
    <mergeCell ref="F22:P22"/>
    <mergeCell ref="Q22:Z22"/>
    <mergeCell ref="AA22:AG22"/>
    <mergeCell ref="E26:R26"/>
    <mergeCell ref="S26:Z26"/>
    <mergeCell ref="B36:H36"/>
    <mergeCell ref="V36:AB36"/>
    <mergeCell ref="A23:E23"/>
    <mergeCell ref="F23:P23"/>
    <mergeCell ref="Q23:Z23"/>
    <mergeCell ref="AA23:AG23"/>
    <mergeCell ref="A24:E24"/>
    <mergeCell ref="F24:P24"/>
    <mergeCell ref="Q24:Z24"/>
    <mergeCell ref="AA24:AG24"/>
  </mergeCells>
  <conditionalFormatting sqref="B14:AE14">
    <cfRule type="containsText" dxfId="59" priority="2" operator="containsText" text="M">
      <formula>NOT(ISERROR(SEARCH("M",B14)))</formula>
    </cfRule>
    <cfRule type="expression" dxfId="58" priority="3">
      <formula>B$13="Fri"</formula>
    </cfRule>
    <cfRule type="containsText" dxfId="57" priority="4" operator="containsText" text="A">
      <formula>NOT(ISERROR(SEARCH("A",B14)))</formula>
    </cfRule>
  </conditionalFormatting>
  <conditionalFormatting sqref="B14:AE15">
    <cfRule type="containsText" dxfId="56" priority="1" operator="containsText" text="H">
      <formula>NOT(ISERROR(SEARCH("H",B14)))</formula>
    </cfRule>
  </conditionalFormatting>
  <conditionalFormatting sqref="F24:P24">
    <cfRule type="expression" dxfId="55" priority="9">
      <formula>B$13="Fri"</formula>
    </cfRule>
  </conditionalFormatting>
  <conditionalFormatting sqref="AF14 B15:AF15">
    <cfRule type="containsText" dxfId="54" priority="6" operator="containsText" text="M">
      <formula>NOT(ISERROR(SEARCH("M",B14)))</formula>
    </cfRule>
    <cfRule type="expression" dxfId="53" priority="7">
      <formula>B$13="Fri"</formula>
    </cfRule>
    <cfRule type="containsText" dxfId="52" priority="8" operator="containsText" text="A">
      <formula>NOT(ISERROR(SEARCH("A",B14)))</formula>
    </cfRule>
  </conditionalFormatting>
  <conditionalFormatting sqref="AF14">
    <cfRule type="containsText" dxfId="51" priority="5" operator="containsText" text="H">
      <formula>NOT(ISERROR(SEARCH("H",AF14)))</formula>
    </cfRule>
  </conditionalFormatting>
  <dataValidations count="1">
    <dataValidation errorStyle="information" allowBlank="1" showInputMessage="1" showErrorMessage="1" sqref="K13" xr:uid="{290CA2D6-0D2E-4A90-A5B7-1AE198912DD6}"/>
  </dataValidations>
  <pageMargins left="0.7" right="0.7" top="0.75" bottom="0.75" header="0.3" footer="0.3"/>
  <pageSetup paperSize="9" scale="79" orientation="landscape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information" allowBlank="1" showInputMessage="1" xr:uid="{ADE3B9FE-52B5-42B2-BA31-FA497C308953}">
          <x14:formula1>
            <xm:f>DATA!$A$3:$A$13</xm:f>
          </x14:formula1>
          <xm:sqref>A7:AG7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73591-F304-4123-B239-69CEB4CE5BFB}">
  <sheetPr>
    <pageSetUpPr fitToPage="1"/>
  </sheetPr>
  <dimension ref="A1:AG36"/>
  <sheetViews>
    <sheetView workbookViewId="0">
      <selection activeCell="B12" sqref="B12:AF13"/>
    </sheetView>
  </sheetViews>
  <sheetFormatPr defaultRowHeight="15" x14ac:dyDescent="0.25"/>
  <cols>
    <col min="1" max="1" width="16.5703125" bestFit="1" customWidth="1"/>
    <col min="2" max="2" width="5.140625" bestFit="1" customWidth="1"/>
    <col min="3" max="3" width="4.140625" bestFit="1" customWidth="1"/>
    <col min="4" max="4" width="4.85546875" bestFit="1" customWidth="1"/>
    <col min="5" max="5" width="4.42578125" bestFit="1" customWidth="1"/>
    <col min="6" max="6" width="3.7109375" bestFit="1" customWidth="1"/>
    <col min="7" max="7" width="4.140625" bestFit="1" customWidth="1"/>
    <col min="8" max="8" width="4.7109375" bestFit="1" customWidth="1"/>
    <col min="9" max="9" width="5.140625" bestFit="1" customWidth="1"/>
    <col min="10" max="10" width="4.140625" bestFit="1" customWidth="1"/>
    <col min="11" max="11" width="4.85546875" bestFit="1" customWidth="1"/>
    <col min="12" max="12" width="4.42578125" bestFit="1" customWidth="1"/>
    <col min="13" max="13" width="3.7109375" bestFit="1" customWidth="1"/>
    <col min="14" max="14" width="4.140625" bestFit="1" customWidth="1"/>
    <col min="15" max="15" width="4.7109375" bestFit="1" customWidth="1"/>
    <col min="16" max="16" width="5.140625" bestFit="1" customWidth="1"/>
    <col min="17" max="17" width="4.140625" bestFit="1" customWidth="1"/>
    <col min="18" max="18" width="4.85546875" bestFit="1" customWidth="1"/>
    <col min="19" max="19" width="4.42578125" bestFit="1" customWidth="1"/>
    <col min="20" max="20" width="3.7109375" bestFit="1" customWidth="1"/>
    <col min="21" max="21" width="4.140625" bestFit="1" customWidth="1"/>
    <col min="22" max="22" width="4.7109375" bestFit="1" customWidth="1"/>
    <col min="23" max="23" width="5.140625" bestFit="1" customWidth="1"/>
    <col min="24" max="24" width="4.140625" bestFit="1" customWidth="1"/>
    <col min="25" max="25" width="4.85546875" bestFit="1" customWidth="1"/>
    <col min="26" max="26" width="4.42578125" bestFit="1" customWidth="1"/>
    <col min="27" max="27" width="3.7109375" bestFit="1" customWidth="1"/>
    <col min="28" max="28" width="4.140625" bestFit="1" customWidth="1"/>
    <col min="29" max="29" width="4.7109375" bestFit="1" customWidth="1"/>
    <col min="30" max="30" width="5.140625" bestFit="1" customWidth="1"/>
    <col min="31" max="31" width="4.140625" bestFit="1" customWidth="1"/>
    <col min="32" max="32" width="4.85546875" bestFit="1" customWidth="1"/>
    <col min="33" max="33" width="7.7109375" bestFit="1" customWidth="1"/>
  </cols>
  <sheetData>
    <row r="1" spans="1:33" ht="14.45" customHeight="1" x14ac:dyDescent="0.65"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</row>
    <row r="2" spans="1:33" ht="14.45" customHeight="1" x14ac:dyDescent="0.65"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</row>
    <row r="3" spans="1:33" ht="14.45" customHeight="1" x14ac:dyDescent="0.65"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</row>
    <row r="4" spans="1:33" ht="14.45" customHeight="1" x14ac:dyDescent="0.65"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</row>
    <row r="5" spans="1:33" ht="21" customHeight="1" x14ac:dyDescent="0.45"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</row>
    <row r="6" spans="1:33" ht="14.45" customHeight="1" x14ac:dyDescent="0.45">
      <c r="F6" s="1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</row>
    <row r="7" spans="1:33" ht="22.5" x14ac:dyDescent="0.25">
      <c r="A7" s="96" t="s">
        <v>54</v>
      </c>
      <c r="B7" s="97"/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97"/>
      <c r="AC7" s="97"/>
      <c r="AD7" s="97"/>
      <c r="AE7" s="97"/>
      <c r="AF7" s="97"/>
      <c r="AG7" s="97"/>
    </row>
    <row r="8" spans="1:33" ht="15.75" thickBot="1" x14ac:dyDescent="0.3"/>
    <row r="9" spans="1:33" ht="15.75" thickBot="1" x14ac:dyDescent="0.3">
      <c r="A9" s="2" t="s">
        <v>0</v>
      </c>
      <c r="B9" s="79" t="s">
        <v>41</v>
      </c>
      <c r="C9" s="80"/>
      <c r="D9" s="80"/>
      <c r="E9" s="80"/>
      <c r="F9" s="80"/>
      <c r="G9" s="80"/>
      <c r="H9" s="80"/>
      <c r="I9" s="81"/>
      <c r="J9" s="3"/>
      <c r="K9" s="98" t="s">
        <v>1</v>
      </c>
      <c r="L9" s="99"/>
      <c r="M9" s="99"/>
      <c r="N9" s="99"/>
      <c r="O9" s="100"/>
      <c r="P9" s="85">
        <v>106</v>
      </c>
      <c r="Q9" s="86"/>
      <c r="R9" s="86"/>
      <c r="S9" s="86"/>
      <c r="T9" s="86"/>
      <c r="U9" s="86"/>
      <c r="V9" s="87"/>
      <c r="W9" s="3"/>
      <c r="X9" s="98" t="s">
        <v>2</v>
      </c>
      <c r="Y9" s="99"/>
      <c r="Z9" s="99"/>
      <c r="AA9" s="99"/>
      <c r="AB9" s="100"/>
      <c r="AC9" s="101"/>
      <c r="AD9" s="102"/>
      <c r="AE9" s="102"/>
      <c r="AF9" s="102"/>
      <c r="AG9" s="103"/>
    </row>
    <row r="10" spans="1:33" ht="15.75" thickBot="1" x14ac:dyDescent="0.3">
      <c r="A10" s="4" t="s">
        <v>3</v>
      </c>
      <c r="B10" s="79">
        <v>2581080955</v>
      </c>
      <c r="C10" s="80"/>
      <c r="D10" s="80"/>
      <c r="E10" s="80"/>
      <c r="F10" s="80"/>
      <c r="G10" s="80"/>
      <c r="H10" s="80"/>
      <c r="I10" s="81"/>
      <c r="J10" s="3"/>
      <c r="K10" s="82" t="s">
        <v>4</v>
      </c>
      <c r="L10" s="83"/>
      <c r="M10" s="83"/>
      <c r="N10" s="83"/>
      <c r="O10" s="84"/>
      <c r="P10" s="85" t="s">
        <v>42</v>
      </c>
      <c r="Q10" s="86"/>
      <c r="R10" s="86"/>
      <c r="S10" s="86"/>
      <c r="T10" s="86"/>
      <c r="U10" s="86"/>
      <c r="V10" s="87"/>
      <c r="W10" s="3"/>
      <c r="X10" s="82" t="s">
        <v>5</v>
      </c>
      <c r="Y10" s="83"/>
      <c r="Z10" s="83"/>
      <c r="AA10" s="83"/>
      <c r="AB10" s="84"/>
      <c r="AC10" s="85"/>
      <c r="AD10" s="86"/>
      <c r="AE10" s="86"/>
      <c r="AF10" s="86"/>
      <c r="AG10" s="87"/>
    </row>
    <row r="11" spans="1:33" ht="15.75" thickBot="1" x14ac:dyDescent="0.3"/>
    <row r="12" spans="1:33" ht="16.5" thickBot="1" x14ac:dyDescent="0.3">
      <c r="A12" s="5" t="s">
        <v>6</v>
      </c>
      <c r="B12" s="12">
        <f>DATA!$I$4</f>
        <v>46023</v>
      </c>
      <c r="C12" s="12">
        <f>IF(B12&lt;DATA!$C$4,B12+1,"")</f>
        <v>46024</v>
      </c>
      <c r="D12" s="12">
        <f>IF(C12&lt;DATA!$C$4,C12+1,"")</f>
        <v>46025</v>
      </c>
      <c r="E12" s="12">
        <f>IF(D12&lt;DATA!$C$4,D12+1,"")</f>
        <v>46026</v>
      </c>
      <c r="F12" s="12">
        <f>IF(E12&lt;DATA!$C$4,E12+1,"")</f>
        <v>46027</v>
      </c>
      <c r="G12" s="12">
        <f>IF(F12&lt;DATA!$C$4,F12+1,"")</f>
        <v>46028</v>
      </c>
      <c r="H12" s="12">
        <f>IF(G12&lt;DATA!$C$4,G12+1,"")</f>
        <v>46029</v>
      </c>
      <c r="I12" s="12">
        <f>IF(H12&lt;DATA!$C$4,H12+1,"")</f>
        <v>46030</v>
      </c>
      <c r="J12" s="12">
        <f>IF(I12&lt;DATA!$C$4,I12+1,"")</f>
        <v>46031</v>
      </c>
      <c r="K12" s="12">
        <f>IF(J12&lt;DATA!$C$4,J12+1,"")</f>
        <v>46032</v>
      </c>
      <c r="L12" s="12">
        <f>IF(K12&lt;DATA!$C$4,K12+1,"")</f>
        <v>46033</v>
      </c>
      <c r="M12" s="12">
        <f>IF(L12&lt;DATA!$C$4,L12+1,"")</f>
        <v>46034</v>
      </c>
      <c r="N12" s="12">
        <f>IF(M12&lt;DATA!$C$4,M12+1,"")</f>
        <v>46035</v>
      </c>
      <c r="O12" s="12">
        <f>IF(N12&lt;DATA!$C$4,N12+1,"")</f>
        <v>46036</v>
      </c>
      <c r="P12" s="12">
        <f>IF(O12&lt;DATA!$C$4,O12+1,"")</f>
        <v>46037</v>
      </c>
      <c r="Q12" s="12">
        <f>IF(P12&lt;DATA!$C$4,P12+1,"")</f>
        <v>46038</v>
      </c>
      <c r="R12" s="12">
        <f>IF(Q12&lt;DATA!$C$4,Q12+1,"")</f>
        <v>46039</v>
      </c>
      <c r="S12" s="12">
        <f>IF(R12&lt;DATA!$C$4,R12+1,"")</f>
        <v>46040</v>
      </c>
      <c r="T12" s="12">
        <f>IF(S12&lt;DATA!$C$4,S12+1,"")</f>
        <v>46041</v>
      </c>
      <c r="U12" s="12">
        <f>IF(T12&lt;DATA!$C$4,T12+1,"")</f>
        <v>46042</v>
      </c>
      <c r="V12" s="12">
        <f>IF(U12&lt;DATA!$C$4,U12+1,"")</f>
        <v>46043</v>
      </c>
      <c r="W12" s="12">
        <f>IF(V12&lt;DATA!$C$4,V12+1,"")</f>
        <v>46044</v>
      </c>
      <c r="X12" s="12">
        <f>IF(W12&lt;DATA!$C$4,W12+1,"")</f>
        <v>46045</v>
      </c>
      <c r="Y12" s="12">
        <f>IF(X12&lt;DATA!$C$4,X12+1,"")</f>
        <v>46046</v>
      </c>
      <c r="Z12" s="12">
        <f>IF(Y12&lt;DATA!$C$4,Y12+1,"")</f>
        <v>46047</v>
      </c>
      <c r="AA12" s="12">
        <f>IF(Z12&lt;DATA!$C$4,Z12+1,"")</f>
        <v>46048</v>
      </c>
      <c r="AB12" s="12">
        <f>IF(AA12&lt;DATA!$C$4,AA12+1,"")</f>
        <v>46049</v>
      </c>
      <c r="AC12" s="12">
        <f>IF(AB12&lt;DATA!$C$4,AB12+1,"")</f>
        <v>46050</v>
      </c>
      <c r="AD12" s="12">
        <f>IF(AC12&lt;DATA!$C$4,AC12+1,"")</f>
        <v>46051</v>
      </c>
      <c r="AE12" s="12">
        <f>IF(AD12&lt;DATA!$C$4,AD12+1,"")</f>
        <v>46052</v>
      </c>
      <c r="AF12" s="12">
        <f>IF(AE12&lt;DATA!$C$4,AE12+1,"")</f>
        <v>46053</v>
      </c>
      <c r="AG12" s="88" t="s">
        <v>7</v>
      </c>
    </row>
    <row r="13" spans="1:33" ht="16.5" thickBot="1" x14ac:dyDescent="0.3">
      <c r="A13" s="5" t="s">
        <v>8</v>
      </c>
      <c r="B13" s="11" t="str">
        <f t="shared" ref="B13:AF13" si="0">TEXT(B12,"ddd")</f>
        <v>Thu</v>
      </c>
      <c r="C13" s="11" t="str">
        <f t="shared" si="0"/>
        <v>Fri</v>
      </c>
      <c r="D13" s="11" t="str">
        <f t="shared" si="0"/>
        <v>Sat</v>
      </c>
      <c r="E13" s="11" t="str">
        <f t="shared" si="0"/>
        <v>Sun</v>
      </c>
      <c r="F13" s="11" t="str">
        <f t="shared" si="0"/>
        <v>Mon</v>
      </c>
      <c r="G13" s="11" t="str">
        <f t="shared" si="0"/>
        <v>Tue</v>
      </c>
      <c r="H13" s="11" t="str">
        <f t="shared" si="0"/>
        <v>Wed</v>
      </c>
      <c r="I13" s="11" t="str">
        <f t="shared" si="0"/>
        <v>Thu</v>
      </c>
      <c r="J13" s="11" t="str">
        <f t="shared" si="0"/>
        <v>Fri</v>
      </c>
      <c r="K13" s="11" t="str">
        <f t="shared" si="0"/>
        <v>Sat</v>
      </c>
      <c r="L13" s="11" t="str">
        <f t="shared" si="0"/>
        <v>Sun</v>
      </c>
      <c r="M13" s="11" t="str">
        <f t="shared" si="0"/>
        <v>Mon</v>
      </c>
      <c r="N13" s="11" t="str">
        <f t="shared" si="0"/>
        <v>Tue</v>
      </c>
      <c r="O13" s="11" t="str">
        <f t="shared" si="0"/>
        <v>Wed</v>
      </c>
      <c r="P13" s="11" t="str">
        <f t="shared" si="0"/>
        <v>Thu</v>
      </c>
      <c r="Q13" s="11" t="str">
        <f t="shared" si="0"/>
        <v>Fri</v>
      </c>
      <c r="R13" s="11" t="str">
        <f t="shared" si="0"/>
        <v>Sat</v>
      </c>
      <c r="S13" s="11" t="str">
        <f t="shared" si="0"/>
        <v>Sun</v>
      </c>
      <c r="T13" s="11" t="str">
        <f t="shared" si="0"/>
        <v>Mon</v>
      </c>
      <c r="U13" s="11" t="str">
        <f t="shared" si="0"/>
        <v>Tue</v>
      </c>
      <c r="V13" s="11" t="str">
        <f t="shared" si="0"/>
        <v>Wed</v>
      </c>
      <c r="W13" s="11" t="str">
        <f t="shared" si="0"/>
        <v>Thu</v>
      </c>
      <c r="X13" s="11" t="str">
        <f t="shared" si="0"/>
        <v>Fri</v>
      </c>
      <c r="Y13" s="11" t="str">
        <f t="shared" si="0"/>
        <v>Sat</v>
      </c>
      <c r="Z13" s="11" t="str">
        <f t="shared" si="0"/>
        <v>Sun</v>
      </c>
      <c r="AA13" s="11" t="str">
        <f t="shared" si="0"/>
        <v>Mon</v>
      </c>
      <c r="AB13" s="11" t="str">
        <f t="shared" si="0"/>
        <v>Tue</v>
      </c>
      <c r="AC13" s="11" t="str">
        <f t="shared" si="0"/>
        <v>Wed</v>
      </c>
      <c r="AD13" s="11" t="str">
        <f t="shared" si="0"/>
        <v>Thu</v>
      </c>
      <c r="AE13" s="11" t="str">
        <f t="shared" si="0"/>
        <v>Fri</v>
      </c>
      <c r="AF13" s="11" t="str">
        <f t="shared" si="0"/>
        <v>Sat</v>
      </c>
      <c r="AG13" s="89"/>
    </row>
    <row r="14" spans="1:33" ht="16.5" thickBot="1" x14ac:dyDescent="0.3">
      <c r="A14" s="6" t="s">
        <v>9</v>
      </c>
      <c r="B14" s="13">
        <v>8</v>
      </c>
      <c r="C14" s="13"/>
      <c r="D14" s="13">
        <v>8</v>
      </c>
      <c r="E14" s="13">
        <v>8</v>
      </c>
      <c r="F14" s="13">
        <v>8</v>
      </c>
      <c r="G14" s="13">
        <v>8</v>
      </c>
      <c r="H14" s="13">
        <v>8</v>
      </c>
      <c r="I14" s="13">
        <v>8</v>
      </c>
      <c r="J14" s="13"/>
      <c r="K14" s="13">
        <v>8</v>
      </c>
      <c r="L14" s="13">
        <v>8</v>
      </c>
      <c r="M14" s="13">
        <v>8</v>
      </c>
      <c r="N14" s="13">
        <v>8</v>
      </c>
      <c r="O14" s="13">
        <v>8</v>
      </c>
      <c r="P14" s="13">
        <v>8</v>
      </c>
      <c r="Q14" s="13"/>
      <c r="R14" s="13">
        <v>8</v>
      </c>
      <c r="S14" s="13">
        <v>8</v>
      </c>
      <c r="T14" s="13">
        <v>8</v>
      </c>
      <c r="U14" s="13">
        <v>8</v>
      </c>
      <c r="V14" s="13">
        <v>8</v>
      </c>
      <c r="W14" s="13">
        <v>8</v>
      </c>
      <c r="X14" s="13"/>
      <c r="Y14" s="13">
        <v>8</v>
      </c>
      <c r="Z14" s="13">
        <v>8</v>
      </c>
      <c r="AA14" s="13">
        <v>8</v>
      </c>
      <c r="AB14" s="13">
        <v>8</v>
      </c>
      <c r="AC14" s="13">
        <v>8</v>
      </c>
      <c r="AD14" s="13">
        <v>8</v>
      </c>
      <c r="AE14" s="13"/>
      <c r="AF14" s="13"/>
      <c r="AG14" s="5">
        <f>SUM(B14:AF14)</f>
        <v>200</v>
      </c>
    </row>
    <row r="15" spans="1:33" ht="16.5" thickBot="1" x14ac:dyDescent="0.3">
      <c r="A15" s="7" t="s">
        <v>10</v>
      </c>
      <c r="B15" s="13">
        <v>3</v>
      </c>
      <c r="C15" s="13">
        <v>10</v>
      </c>
      <c r="D15" s="13">
        <v>5</v>
      </c>
      <c r="E15" s="13">
        <v>3</v>
      </c>
      <c r="F15" s="13">
        <v>4</v>
      </c>
      <c r="G15" s="13">
        <v>4</v>
      </c>
      <c r="H15" s="27">
        <v>4</v>
      </c>
      <c r="I15" s="13">
        <v>3</v>
      </c>
      <c r="J15" s="13"/>
      <c r="K15" s="13">
        <v>4</v>
      </c>
      <c r="L15" s="13">
        <v>3</v>
      </c>
      <c r="M15" s="13">
        <v>3</v>
      </c>
      <c r="N15" s="13">
        <v>3</v>
      </c>
      <c r="O15" s="27">
        <v>3</v>
      </c>
      <c r="P15" s="13">
        <v>3</v>
      </c>
      <c r="Q15" s="13"/>
      <c r="R15" s="13">
        <v>3</v>
      </c>
      <c r="S15" s="13">
        <v>3</v>
      </c>
      <c r="T15" s="13">
        <v>3</v>
      </c>
      <c r="U15" s="13">
        <v>2</v>
      </c>
      <c r="V15" s="13">
        <v>2</v>
      </c>
      <c r="W15" s="13">
        <v>2</v>
      </c>
      <c r="X15" s="13">
        <v>6</v>
      </c>
      <c r="Y15" s="13">
        <v>3</v>
      </c>
      <c r="Z15" s="13">
        <v>3</v>
      </c>
      <c r="AA15" s="13">
        <v>3</v>
      </c>
      <c r="AB15" s="13">
        <v>3</v>
      </c>
      <c r="AC15" s="13">
        <v>3</v>
      </c>
      <c r="AD15" s="13">
        <v>3</v>
      </c>
      <c r="AE15" s="13">
        <v>8</v>
      </c>
      <c r="AF15" s="13"/>
      <c r="AG15" s="8">
        <f>SUM(B15:AF15)</f>
        <v>102</v>
      </c>
    </row>
    <row r="16" spans="1:33" ht="15.75" thickBot="1" x14ac:dyDescent="0.3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6.5" thickBot="1" x14ac:dyDescent="0.3">
      <c r="A17" s="1"/>
      <c r="B17" s="90" t="s">
        <v>11</v>
      </c>
      <c r="C17" s="91"/>
      <c r="D17" s="91"/>
      <c r="E17" s="91"/>
      <c r="F17" s="92"/>
      <c r="G17" s="90">
        <f>COUNTIF(B14:AF14,"A")</f>
        <v>0</v>
      </c>
      <c r="H17" s="91"/>
      <c r="I17" s="92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90" t="s">
        <v>12</v>
      </c>
      <c r="V17" s="91"/>
      <c r="W17" s="91"/>
      <c r="X17" s="91"/>
      <c r="Y17" s="91"/>
      <c r="Z17" s="92"/>
      <c r="AA17" s="90">
        <f>AG14+AG15</f>
        <v>302</v>
      </c>
      <c r="AB17" s="91"/>
      <c r="AC17" s="91"/>
      <c r="AD17" s="92"/>
      <c r="AE17" s="1"/>
      <c r="AF17" s="1"/>
      <c r="AG17" s="1"/>
    </row>
    <row r="18" spans="1:33" ht="15.75" thickBo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9.5" thickBot="1" x14ac:dyDescent="0.35">
      <c r="A19" s="93" t="s">
        <v>13</v>
      </c>
      <c r="B19" s="94"/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4"/>
      <c r="AB19" s="94"/>
      <c r="AC19" s="94"/>
      <c r="AD19" s="94"/>
      <c r="AE19" s="94"/>
      <c r="AF19" s="94"/>
      <c r="AG19" s="95"/>
    </row>
    <row r="20" spans="1:33" ht="19.5" thickBot="1" x14ac:dyDescent="0.35">
      <c r="A20" s="76" t="s">
        <v>14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8"/>
      <c r="Q20" s="76" t="s">
        <v>15</v>
      </c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77"/>
      <c r="AD20" s="77"/>
      <c r="AE20" s="77"/>
      <c r="AF20" s="77"/>
      <c r="AG20" s="78"/>
    </row>
    <row r="21" spans="1:33" x14ac:dyDescent="0.25">
      <c r="A21" s="65" t="s">
        <v>16</v>
      </c>
      <c r="B21" s="66"/>
      <c r="C21" s="66"/>
      <c r="D21" s="66"/>
      <c r="E21" s="67"/>
      <c r="F21" s="68">
        <v>1400</v>
      </c>
      <c r="G21" s="69"/>
      <c r="H21" s="69"/>
      <c r="I21" s="69"/>
      <c r="J21" s="69"/>
      <c r="K21" s="69"/>
      <c r="L21" s="69"/>
      <c r="M21" s="69"/>
      <c r="N21" s="69"/>
      <c r="O21" s="69"/>
      <c r="P21" s="70"/>
      <c r="Q21" s="65" t="s">
        <v>17</v>
      </c>
      <c r="R21" s="66"/>
      <c r="S21" s="66"/>
      <c r="T21" s="66"/>
      <c r="U21" s="66"/>
      <c r="V21" s="66"/>
      <c r="W21" s="66"/>
      <c r="X21" s="66"/>
      <c r="Y21" s="66"/>
      <c r="Z21" s="67"/>
      <c r="AA21" s="71">
        <f>F21/30*G17*2</f>
        <v>0</v>
      </c>
      <c r="AB21" s="71"/>
      <c r="AC21" s="71"/>
      <c r="AD21" s="71"/>
      <c r="AE21" s="71"/>
      <c r="AF21" s="71"/>
      <c r="AG21" s="72"/>
    </row>
    <row r="22" spans="1:33" x14ac:dyDescent="0.25">
      <c r="A22" s="49" t="s">
        <v>18</v>
      </c>
      <c r="B22" s="50"/>
      <c r="C22" s="50"/>
      <c r="D22" s="50"/>
      <c r="E22" s="51"/>
      <c r="F22" s="52">
        <v>0</v>
      </c>
      <c r="G22" s="53"/>
      <c r="H22" s="53"/>
      <c r="I22" s="53"/>
      <c r="J22" s="53"/>
      <c r="K22" s="53"/>
      <c r="L22" s="53"/>
      <c r="M22" s="53"/>
      <c r="N22" s="53"/>
      <c r="O22" s="53"/>
      <c r="P22" s="54"/>
      <c r="Q22" s="73" t="s">
        <v>19</v>
      </c>
      <c r="R22" s="74"/>
      <c r="S22" s="74"/>
      <c r="T22" s="74"/>
      <c r="U22" s="74"/>
      <c r="V22" s="74"/>
      <c r="W22" s="74"/>
      <c r="X22" s="74"/>
      <c r="Y22" s="74"/>
      <c r="Z22" s="75"/>
      <c r="AA22" s="55">
        <v>0</v>
      </c>
      <c r="AB22" s="55"/>
      <c r="AC22" s="55"/>
      <c r="AD22" s="55"/>
      <c r="AE22" s="55"/>
      <c r="AF22" s="55"/>
      <c r="AG22" s="56"/>
    </row>
    <row r="23" spans="1:33" x14ac:dyDescent="0.25">
      <c r="A23" s="49" t="s">
        <v>10</v>
      </c>
      <c r="B23" s="50"/>
      <c r="C23" s="50"/>
      <c r="D23" s="50"/>
      <c r="E23" s="51"/>
      <c r="F23" s="52">
        <f>F21/30/8*1.5*AG15</f>
        <v>892.5</v>
      </c>
      <c r="G23" s="53"/>
      <c r="H23" s="53"/>
      <c r="I23" s="53"/>
      <c r="J23" s="53"/>
      <c r="K23" s="53"/>
      <c r="L23" s="53"/>
      <c r="M23" s="53"/>
      <c r="N23" s="53"/>
      <c r="O23" s="53"/>
      <c r="P23" s="54"/>
      <c r="Q23" s="49" t="s">
        <v>20</v>
      </c>
      <c r="R23" s="50"/>
      <c r="S23" s="50"/>
      <c r="T23" s="50"/>
      <c r="U23" s="50"/>
      <c r="V23" s="50"/>
      <c r="W23" s="50"/>
      <c r="X23" s="50"/>
      <c r="Y23" s="50"/>
      <c r="Z23" s="51"/>
      <c r="AA23" s="55">
        <v>0</v>
      </c>
      <c r="AB23" s="55"/>
      <c r="AC23" s="55"/>
      <c r="AD23" s="55"/>
      <c r="AE23" s="55"/>
      <c r="AF23" s="55"/>
      <c r="AG23" s="56"/>
    </row>
    <row r="24" spans="1:33" ht="15.75" thickBot="1" x14ac:dyDescent="0.3">
      <c r="A24" s="57" t="s">
        <v>21</v>
      </c>
      <c r="B24" s="58"/>
      <c r="C24" s="58"/>
      <c r="D24" s="58"/>
      <c r="E24" s="59"/>
      <c r="F24" s="60">
        <f>SUM(F21:P23)</f>
        <v>2292.5</v>
      </c>
      <c r="G24" s="61"/>
      <c r="H24" s="61"/>
      <c r="I24" s="61"/>
      <c r="J24" s="61"/>
      <c r="K24" s="61"/>
      <c r="L24" s="61"/>
      <c r="M24" s="61"/>
      <c r="N24" s="61"/>
      <c r="O24" s="61"/>
      <c r="P24" s="62"/>
      <c r="Q24" s="57" t="s">
        <v>21</v>
      </c>
      <c r="R24" s="58"/>
      <c r="S24" s="58"/>
      <c r="T24" s="58"/>
      <c r="U24" s="58"/>
      <c r="V24" s="58"/>
      <c r="W24" s="58"/>
      <c r="X24" s="58"/>
      <c r="Y24" s="58"/>
      <c r="Z24" s="59"/>
      <c r="AA24" s="63">
        <f>SUM(AA21:AG23)</f>
        <v>0</v>
      </c>
      <c r="AB24" s="63"/>
      <c r="AC24" s="63"/>
      <c r="AD24" s="63"/>
      <c r="AE24" s="63"/>
      <c r="AF24" s="63"/>
      <c r="AG24" s="64"/>
    </row>
    <row r="25" spans="1:33" ht="15.75" thickBo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21.75" thickBot="1" x14ac:dyDescent="0.3">
      <c r="A26" s="9"/>
      <c r="B26" s="9"/>
      <c r="C26" s="9"/>
      <c r="D26" s="9"/>
      <c r="E26" s="44" t="s">
        <v>22</v>
      </c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6"/>
      <c r="S26" s="47">
        <f>F24-AA24</f>
        <v>2292.5</v>
      </c>
      <c r="T26" s="45"/>
      <c r="U26" s="45"/>
      <c r="V26" s="45"/>
      <c r="W26" s="45"/>
      <c r="X26" s="45"/>
      <c r="Y26" s="45"/>
      <c r="Z26" s="46"/>
      <c r="AA26" s="10"/>
      <c r="AB26" s="10"/>
      <c r="AC26" s="10"/>
      <c r="AD26" s="10"/>
      <c r="AE26" s="10"/>
      <c r="AF26" s="10"/>
      <c r="AG26" s="10"/>
    </row>
    <row r="36" spans="2:28" ht="18.75" x14ac:dyDescent="0.3">
      <c r="B36" s="48" t="s">
        <v>23</v>
      </c>
      <c r="C36" s="48"/>
      <c r="D36" s="48"/>
      <c r="E36" s="48"/>
      <c r="F36" s="48"/>
      <c r="G36" s="48"/>
      <c r="H36" s="48"/>
      <c r="V36" s="48" t="s">
        <v>24</v>
      </c>
      <c r="W36" s="48"/>
      <c r="X36" s="48"/>
      <c r="Y36" s="48"/>
      <c r="Z36" s="48"/>
      <c r="AA36" s="48"/>
      <c r="AB36" s="48"/>
    </row>
  </sheetData>
  <mergeCells count="39">
    <mergeCell ref="A7:AG7"/>
    <mergeCell ref="B9:I9"/>
    <mergeCell ref="K9:O9"/>
    <mergeCell ref="P9:V9"/>
    <mergeCell ref="X9:AB9"/>
    <mergeCell ref="AC9:AG9"/>
    <mergeCell ref="A20:P20"/>
    <mergeCell ref="Q20:AG20"/>
    <mergeCell ref="B10:I10"/>
    <mergeCell ref="K10:O10"/>
    <mergeCell ref="P10:V10"/>
    <mergeCell ref="X10:AB10"/>
    <mergeCell ref="AC10:AG10"/>
    <mergeCell ref="AG12:AG13"/>
    <mergeCell ref="B17:F17"/>
    <mergeCell ref="G17:I17"/>
    <mergeCell ref="U17:Z17"/>
    <mergeCell ref="AA17:AD17"/>
    <mergeCell ref="A19:AG19"/>
    <mergeCell ref="A21:E21"/>
    <mergeCell ref="F21:P21"/>
    <mergeCell ref="Q21:Z21"/>
    <mergeCell ref="AA21:AG21"/>
    <mergeCell ref="A22:E22"/>
    <mergeCell ref="F22:P22"/>
    <mergeCell ref="Q22:Z22"/>
    <mergeCell ref="AA22:AG22"/>
    <mergeCell ref="E26:R26"/>
    <mergeCell ref="S26:Z26"/>
    <mergeCell ref="B36:H36"/>
    <mergeCell ref="V36:AB36"/>
    <mergeCell ref="A23:E23"/>
    <mergeCell ref="F23:P23"/>
    <mergeCell ref="Q23:Z23"/>
    <mergeCell ref="AA23:AG23"/>
    <mergeCell ref="A24:E24"/>
    <mergeCell ref="F24:P24"/>
    <mergeCell ref="Q24:Z24"/>
    <mergeCell ref="AA24:AG24"/>
  </mergeCells>
  <phoneticPr fontId="9" type="noConversion"/>
  <conditionalFormatting sqref="B14:AF14">
    <cfRule type="containsText" dxfId="50" priority="1" operator="containsText" text="H">
      <formula>NOT(ISERROR(SEARCH("H",B14)))</formula>
    </cfRule>
  </conditionalFormatting>
  <conditionalFormatting sqref="B14:AF15">
    <cfRule type="containsText" dxfId="49" priority="2" operator="containsText" text="M">
      <formula>NOT(ISERROR(SEARCH("M",B14)))</formula>
    </cfRule>
    <cfRule type="expression" dxfId="48" priority="3">
      <formula>B$13="Fri"</formula>
    </cfRule>
    <cfRule type="containsText" dxfId="47" priority="4" operator="containsText" text="A">
      <formula>NOT(ISERROR(SEARCH("A",B14)))</formula>
    </cfRule>
  </conditionalFormatting>
  <conditionalFormatting sqref="F24:P24">
    <cfRule type="expression" dxfId="46" priority="5">
      <formula>B$13="Fri"</formula>
    </cfRule>
  </conditionalFormatting>
  <dataValidations count="1">
    <dataValidation errorStyle="information" allowBlank="1" showInputMessage="1" showErrorMessage="1" sqref="K13" xr:uid="{EC28EB2E-404D-469F-AAFA-F55B0C6AB3ED}"/>
  </dataValidations>
  <pageMargins left="0.7" right="0.7" top="0.75" bottom="0.75" header="0.3" footer="0.3"/>
  <pageSetup paperSize="9" scale="82" orientation="landscape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information" allowBlank="1" showInputMessage="1" xr:uid="{4776AC00-5FA2-4AEC-B59D-694302B591AC}">
          <x14:formula1>
            <xm:f>DATA!$A$3:$A$13</xm:f>
          </x14:formula1>
          <xm:sqref>A7:AG7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0A932-75BC-47A7-A2E1-F0FF7D4AB15E}">
  <sheetPr>
    <pageSetUpPr fitToPage="1"/>
  </sheetPr>
  <dimension ref="A1:AG36"/>
  <sheetViews>
    <sheetView workbookViewId="0">
      <selection activeCell="B12" sqref="B12:AF13"/>
    </sheetView>
  </sheetViews>
  <sheetFormatPr defaultRowHeight="15" x14ac:dyDescent="0.25"/>
  <cols>
    <col min="1" max="1" width="16.5703125" customWidth="1"/>
    <col min="2" max="2" width="5.140625" bestFit="1" customWidth="1"/>
    <col min="3" max="3" width="4.140625" bestFit="1" customWidth="1"/>
    <col min="4" max="4" width="4.85546875" bestFit="1" customWidth="1"/>
    <col min="5" max="5" width="4.42578125" bestFit="1" customWidth="1"/>
    <col min="6" max="6" width="3.7109375" bestFit="1" customWidth="1"/>
    <col min="7" max="7" width="4.140625" bestFit="1" customWidth="1"/>
    <col min="8" max="8" width="4.7109375" bestFit="1" customWidth="1"/>
    <col min="9" max="9" width="5.140625" bestFit="1" customWidth="1"/>
    <col min="10" max="10" width="4.140625" bestFit="1" customWidth="1"/>
    <col min="11" max="11" width="4.85546875" bestFit="1" customWidth="1"/>
    <col min="12" max="12" width="4.42578125" bestFit="1" customWidth="1"/>
    <col min="13" max="13" width="5.140625" bestFit="1" customWidth="1"/>
    <col min="14" max="14" width="4.140625" bestFit="1" customWidth="1"/>
    <col min="15" max="15" width="4.7109375" bestFit="1" customWidth="1"/>
    <col min="16" max="16" width="5.140625" bestFit="1" customWidth="1"/>
    <col min="17" max="17" width="4.140625" bestFit="1" customWidth="1"/>
    <col min="18" max="18" width="4.85546875" bestFit="1" customWidth="1"/>
    <col min="19" max="19" width="4.42578125" bestFit="1" customWidth="1"/>
    <col min="20" max="20" width="3.7109375" bestFit="1" customWidth="1"/>
    <col min="21" max="21" width="4.140625" bestFit="1" customWidth="1"/>
    <col min="22" max="22" width="4.7109375" bestFit="1" customWidth="1"/>
    <col min="23" max="23" width="5.140625" bestFit="1" customWidth="1"/>
    <col min="24" max="24" width="4.140625" bestFit="1" customWidth="1"/>
    <col min="25" max="25" width="4.85546875" bestFit="1" customWidth="1"/>
    <col min="26" max="26" width="4.42578125" bestFit="1" customWidth="1"/>
    <col min="27" max="27" width="5.140625" bestFit="1" customWidth="1"/>
    <col min="28" max="28" width="4.140625" bestFit="1" customWidth="1"/>
    <col min="29" max="29" width="4.7109375" bestFit="1" customWidth="1"/>
    <col min="30" max="30" width="5.140625" bestFit="1" customWidth="1"/>
    <col min="31" max="31" width="4.140625" bestFit="1" customWidth="1"/>
    <col min="32" max="32" width="4.85546875" bestFit="1" customWidth="1"/>
    <col min="33" max="33" width="7.7109375" bestFit="1" customWidth="1"/>
  </cols>
  <sheetData>
    <row r="1" spans="1:33" ht="14.45" customHeight="1" x14ac:dyDescent="0.65"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</row>
    <row r="2" spans="1:33" ht="14.45" customHeight="1" x14ac:dyDescent="0.65"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</row>
    <row r="3" spans="1:33" ht="14.45" customHeight="1" x14ac:dyDescent="0.65"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</row>
    <row r="4" spans="1:33" ht="14.45" customHeight="1" x14ac:dyDescent="0.65"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</row>
    <row r="5" spans="1:33" ht="21" customHeight="1" x14ac:dyDescent="0.45"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</row>
    <row r="6" spans="1:33" ht="14.45" customHeight="1" x14ac:dyDescent="0.45">
      <c r="F6" s="1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</row>
    <row r="7" spans="1:33" ht="22.5" x14ac:dyDescent="0.25">
      <c r="A7" s="96" t="s">
        <v>54</v>
      </c>
      <c r="B7" s="97"/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97"/>
      <c r="AC7" s="97"/>
      <c r="AD7" s="97"/>
      <c r="AE7" s="97"/>
      <c r="AF7" s="97"/>
      <c r="AG7" s="97"/>
    </row>
    <row r="8" spans="1:33" ht="15.75" thickBot="1" x14ac:dyDescent="0.3"/>
    <row r="9" spans="1:33" ht="15.75" thickBot="1" x14ac:dyDescent="0.3">
      <c r="A9" s="2" t="s">
        <v>0</v>
      </c>
      <c r="B9" s="79" t="s">
        <v>43</v>
      </c>
      <c r="C9" s="80"/>
      <c r="D9" s="80"/>
      <c r="E9" s="80"/>
      <c r="F9" s="80"/>
      <c r="G9" s="80"/>
      <c r="H9" s="80"/>
      <c r="I9" s="81"/>
      <c r="J9" s="3"/>
      <c r="K9" s="98" t="s">
        <v>1</v>
      </c>
      <c r="L9" s="99"/>
      <c r="M9" s="99"/>
      <c r="N9" s="99"/>
      <c r="O9" s="100"/>
      <c r="P9" s="85">
        <v>107</v>
      </c>
      <c r="Q9" s="86"/>
      <c r="R9" s="86"/>
      <c r="S9" s="86"/>
      <c r="T9" s="86"/>
      <c r="U9" s="86"/>
      <c r="V9" s="87"/>
      <c r="W9" s="3"/>
      <c r="X9" s="98" t="s">
        <v>2</v>
      </c>
      <c r="Y9" s="99"/>
      <c r="Z9" s="99"/>
      <c r="AA9" s="99"/>
      <c r="AB9" s="100"/>
      <c r="AC9" s="101"/>
      <c r="AD9" s="102"/>
      <c r="AE9" s="102"/>
      <c r="AF9" s="102"/>
      <c r="AG9" s="103"/>
    </row>
    <row r="10" spans="1:33" ht="15.75" thickBot="1" x14ac:dyDescent="0.3">
      <c r="A10" s="4" t="s">
        <v>3</v>
      </c>
      <c r="B10" s="79">
        <v>2581084882</v>
      </c>
      <c r="C10" s="80"/>
      <c r="D10" s="80"/>
      <c r="E10" s="80"/>
      <c r="F10" s="80"/>
      <c r="G10" s="80"/>
      <c r="H10" s="80"/>
      <c r="I10" s="81"/>
      <c r="J10" s="3"/>
      <c r="K10" s="82" t="s">
        <v>4</v>
      </c>
      <c r="L10" s="83"/>
      <c r="M10" s="83"/>
      <c r="N10" s="83"/>
      <c r="O10" s="84"/>
      <c r="P10" s="85" t="s">
        <v>42</v>
      </c>
      <c r="Q10" s="86"/>
      <c r="R10" s="86"/>
      <c r="S10" s="86"/>
      <c r="T10" s="86"/>
      <c r="U10" s="86"/>
      <c r="V10" s="87"/>
      <c r="W10" s="3"/>
      <c r="X10" s="82" t="s">
        <v>5</v>
      </c>
      <c r="Y10" s="83"/>
      <c r="Z10" s="83"/>
      <c r="AA10" s="83"/>
      <c r="AB10" s="84"/>
      <c r="AC10" s="85"/>
      <c r="AD10" s="86"/>
      <c r="AE10" s="86"/>
      <c r="AF10" s="86"/>
      <c r="AG10" s="87"/>
    </row>
    <row r="11" spans="1:33" ht="15.75" thickBot="1" x14ac:dyDescent="0.3"/>
    <row r="12" spans="1:33" ht="16.5" thickBot="1" x14ac:dyDescent="0.3">
      <c r="A12" s="5" t="s">
        <v>6</v>
      </c>
      <c r="B12" s="12">
        <f>DATA!$I$4</f>
        <v>46023</v>
      </c>
      <c r="C12" s="12">
        <f>IF(B12&lt;DATA!$C$4,B12+1,"")</f>
        <v>46024</v>
      </c>
      <c r="D12" s="12">
        <f>IF(C12&lt;DATA!$C$4,C12+1,"")</f>
        <v>46025</v>
      </c>
      <c r="E12" s="12">
        <f>IF(D12&lt;DATA!$C$4,D12+1,"")</f>
        <v>46026</v>
      </c>
      <c r="F12" s="12">
        <f>IF(E12&lt;DATA!$C$4,E12+1,"")</f>
        <v>46027</v>
      </c>
      <c r="G12" s="12">
        <f>IF(F12&lt;DATA!$C$4,F12+1,"")</f>
        <v>46028</v>
      </c>
      <c r="H12" s="12">
        <f>IF(G12&lt;DATA!$C$4,G12+1,"")</f>
        <v>46029</v>
      </c>
      <c r="I12" s="12">
        <f>IF(H12&lt;DATA!$C$4,H12+1,"")</f>
        <v>46030</v>
      </c>
      <c r="J12" s="12">
        <f>IF(I12&lt;DATA!$C$4,I12+1,"")</f>
        <v>46031</v>
      </c>
      <c r="K12" s="12">
        <f>IF(J12&lt;DATA!$C$4,J12+1,"")</f>
        <v>46032</v>
      </c>
      <c r="L12" s="12">
        <f>IF(K12&lt;DATA!$C$4,K12+1,"")</f>
        <v>46033</v>
      </c>
      <c r="M12" s="12">
        <f>IF(L12&lt;DATA!$C$4,L12+1,"")</f>
        <v>46034</v>
      </c>
      <c r="N12" s="12">
        <f>IF(M12&lt;DATA!$C$4,M12+1,"")</f>
        <v>46035</v>
      </c>
      <c r="O12" s="12">
        <f>IF(N12&lt;DATA!$C$4,N12+1,"")</f>
        <v>46036</v>
      </c>
      <c r="P12" s="12">
        <f>IF(O12&lt;DATA!$C$4,O12+1,"")</f>
        <v>46037</v>
      </c>
      <c r="Q12" s="12">
        <f>IF(P12&lt;DATA!$C$4,P12+1,"")</f>
        <v>46038</v>
      </c>
      <c r="R12" s="12">
        <f>IF(Q12&lt;DATA!$C$4,Q12+1,"")</f>
        <v>46039</v>
      </c>
      <c r="S12" s="12">
        <f>IF(R12&lt;DATA!$C$4,R12+1,"")</f>
        <v>46040</v>
      </c>
      <c r="T12" s="12">
        <f>IF(S12&lt;DATA!$C$4,S12+1,"")</f>
        <v>46041</v>
      </c>
      <c r="U12" s="12">
        <f>IF(T12&lt;DATA!$C$4,T12+1,"")</f>
        <v>46042</v>
      </c>
      <c r="V12" s="12">
        <f>IF(U12&lt;DATA!$C$4,U12+1,"")</f>
        <v>46043</v>
      </c>
      <c r="W12" s="12">
        <f>IF(V12&lt;DATA!$C$4,V12+1,"")</f>
        <v>46044</v>
      </c>
      <c r="X12" s="12">
        <f>IF(W12&lt;DATA!$C$4,W12+1,"")</f>
        <v>46045</v>
      </c>
      <c r="Y12" s="12">
        <f>IF(X12&lt;DATA!$C$4,X12+1,"")</f>
        <v>46046</v>
      </c>
      <c r="Z12" s="12">
        <f>IF(Y12&lt;DATA!$C$4,Y12+1,"")</f>
        <v>46047</v>
      </c>
      <c r="AA12" s="12">
        <f>IF(Z12&lt;DATA!$C$4,Z12+1,"")</f>
        <v>46048</v>
      </c>
      <c r="AB12" s="12">
        <f>IF(AA12&lt;DATA!$C$4,AA12+1,"")</f>
        <v>46049</v>
      </c>
      <c r="AC12" s="12">
        <f>IF(AB12&lt;DATA!$C$4,AB12+1,"")</f>
        <v>46050</v>
      </c>
      <c r="AD12" s="12">
        <f>IF(AC12&lt;DATA!$C$4,AC12+1,"")</f>
        <v>46051</v>
      </c>
      <c r="AE12" s="12">
        <f>IF(AD12&lt;DATA!$C$4,AD12+1,"")</f>
        <v>46052</v>
      </c>
      <c r="AF12" s="12">
        <f>IF(AE12&lt;DATA!$C$4,AE12+1,"")</f>
        <v>46053</v>
      </c>
      <c r="AG12" s="88" t="s">
        <v>7</v>
      </c>
    </row>
    <row r="13" spans="1:33" ht="16.5" thickBot="1" x14ac:dyDescent="0.3">
      <c r="A13" s="5" t="s">
        <v>8</v>
      </c>
      <c r="B13" s="11" t="str">
        <f t="shared" ref="B13:AF13" si="0">TEXT(B12,"ddd")</f>
        <v>Thu</v>
      </c>
      <c r="C13" s="11" t="str">
        <f t="shared" si="0"/>
        <v>Fri</v>
      </c>
      <c r="D13" s="11" t="str">
        <f t="shared" si="0"/>
        <v>Sat</v>
      </c>
      <c r="E13" s="11" t="str">
        <f t="shared" si="0"/>
        <v>Sun</v>
      </c>
      <c r="F13" s="11" t="str">
        <f t="shared" si="0"/>
        <v>Mon</v>
      </c>
      <c r="G13" s="11" t="str">
        <f t="shared" si="0"/>
        <v>Tue</v>
      </c>
      <c r="H13" s="11" t="str">
        <f t="shared" si="0"/>
        <v>Wed</v>
      </c>
      <c r="I13" s="11" t="str">
        <f t="shared" si="0"/>
        <v>Thu</v>
      </c>
      <c r="J13" s="11" t="str">
        <f t="shared" si="0"/>
        <v>Fri</v>
      </c>
      <c r="K13" s="11" t="str">
        <f t="shared" si="0"/>
        <v>Sat</v>
      </c>
      <c r="L13" s="11" t="str">
        <f t="shared" si="0"/>
        <v>Sun</v>
      </c>
      <c r="M13" s="11" t="str">
        <f t="shared" si="0"/>
        <v>Mon</v>
      </c>
      <c r="N13" s="11" t="str">
        <f t="shared" si="0"/>
        <v>Tue</v>
      </c>
      <c r="O13" s="11" t="str">
        <f t="shared" si="0"/>
        <v>Wed</v>
      </c>
      <c r="P13" s="11" t="str">
        <f t="shared" si="0"/>
        <v>Thu</v>
      </c>
      <c r="Q13" s="11" t="str">
        <f t="shared" si="0"/>
        <v>Fri</v>
      </c>
      <c r="R13" s="11" t="str">
        <f t="shared" si="0"/>
        <v>Sat</v>
      </c>
      <c r="S13" s="11" t="str">
        <f t="shared" si="0"/>
        <v>Sun</v>
      </c>
      <c r="T13" s="11" t="str">
        <f t="shared" si="0"/>
        <v>Mon</v>
      </c>
      <c r="U13" s="11" t="str">
        <f t="shared" si="0"/>
        <v>Tue</v>
      </c>
      <c r="V13" s="11" t="str">
        <f t="shared" si="0"/>
        <v>Wed</v>
      </c>
      <c r="W13" s="11" t="str">
        <f t="shared" si="0"/>
        <v>Thu</v>
      </c>
      <c r="X13" s="11" t="str">
        <f t="shared" si="0"/>
        <v>Fri</v>
      </c>
      <c r="Y13" s="11" t="str">
        <f t="shared" si="0"/>
        <v>Sat</v>
      </c>
      <c r="Z13" s="11" t="str">
        <f t="shared" si="0"/>
        <v>Sun</v>
      </c>
      <c r="AA13" s="11" t="str">
        <f t="shared" si="0"/>
        <v>Mon</v>
      </c>
      <c r="AB13" s="11" t="str">
        <f t="shared" si="0"/>
        <v>Tue</v>
      </c>
      <c r="AC13" s="11" t="str">
        <f t="shared" si="0"/>
        <v>Wed</v>
      </c>
      <c r="AD13" s="11" t="str">
        <f t="shared" si="0"/>
        <v>Thu</v>
      </c>
      <c r="AE13" s="11" t="str">
        <f t="shared" si="0"/>
        <v>Fri</v>
      </c>
      <c r="AF13" s="11" t="str">
        <f t="shared" si="0"/>
        <v>Sat</v>
      </c>
      <c r="AG13" s="89"/>
    </row>
    <row r="14" spans="1:33" ht="16.5" thickBot="1" x14ac:dyDescent="0.3">
      <c r="A14" s="6" t="s">
        <v>9</v>
      </c>
      <c r="B14" s="13">
        <v>8</v>
      </c>
      <c r="C14" s="13"/>
      <c r="D14" s="13">
        <v>8</v>
      </c>
      <c r="E14" s="13">
        <v>8</v>
      </c>
      <c r="F14" s="13">
        <v>8</v>
      </c>
      <c r="G14" s="13">
        <v>8</v>
      </c>
      <c r="H14" s="13">
        <v>8</v>
      </c>
      <c r="I14" s="13">
        <v>8</v>
      </c>
      <c r="J14" s="13"/>
      <c r="K14" s="13">
        <v>8</v>
      </c>
      <c r="L14" s="13">
        <v>8</v>
      </c>
      <c r="M14" s="13">
        <v>8</v>
      </c>
      <c r="N14" s="13">
        <v>8</v>
      </c>
      <c r="O14" s="13">
        <v>8</v>
      </c>
      <c r="P14" s="13">
        <v>8</v>
      </c>
      <c r="Q14" s="13"/>
      <c r="R14" s="13">
        <v>8</v>
      </c>
      <c r="S14" s="13">
        <v>8</v>
      </c>
      <c r="T14" s="13">
        <v>8</v>
      </c>
      <c r="U14" s="13">
        <v>8</v>
      </c>
      <c r="V14" s="13">
        <v>8</v>
      </c>
      <c r="W14" s="13">
        <v>8</v>
      </c>
      <c r="X14" s="13"/>
      <c r="Y14" s="13">
        <v>8</v>
      </c>
      <c r="Z14" s="13">
        <v>8</v>
      </c>
      <c r="AA14" s="13">
        <v>8</v>
      </c>
      <c r="AB14" s="13">
        <v>8</v>
      </c>
      <c r="AC14" s="13">
        <v>8</v>
      </c>
      <c r="AD14" s="13">
        <v>8</v>
      </c>
      <c r="AE14" s="13"/>
      <c r="AF14" s="13"/>
      <c r="AG14" s="5">
        <f>SUM(B14:AF14)</f>
        <v>200</v>
      </c>
    </row>
    <row r="15" spans="1:33" ht="16.5" thickBot="1" x14ac:dyDescent="0.3">
      <c r="A15" s="7" t="s">
        <v>10</v>
      </c>
      <c r="B15" s="13"/>
      <c r="C15" s="13">
        <v>6</v>
      </c>
      <c r="D15" s="13">
        <v>2</v>
      </c>
      <c r="E15" s="13">
        <v>2</v>
      </c>
      <c r="F15" s="13">
        <v>2</v>
      </c>
      <c r="G15" s="13">
        <v>2</v>
      </c>
      <c r="H15" s="27">
        <v>4</v>
      </c>
      <c r="I15" s="13">
        <v>3</v>
      </c>
      <c r="J15" s="13">
        <v>6</v>
      </c>
      <c r="K15" s="13">
        <v>2</v>
      </c>
      <c r="L15" s="13">
        <v>2</v>
      </c>
      <c r="M15" s="13">
        <v>2</v>
      </c>
      <c r="N15" s="13">
        <v>2</v>
      </c>
      <c r="O15" s="27">
        <v>2</v>
      </c>
      <c r="P15" s="13">
        <v>2</v>
      </c>
      <c r="Q15" s="13"/>
      <c r="R15" s="13">
        <v>2</v>
      </c>
      <c r="S15" s="13">
        <v>2</v>
      </c>
      <c r="T15" s="13">
        <v>2</v>
      </c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8">
        <f>SUM(B15:AF15)</f>
        <v>45</v>
      </c>
    </row>
    <row r="16" spans="1:33" ht="15.75" thickBot="1" x14ac:dyDescent="0.3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6.5" thickBot="1" x14ac:dyDescent="0.3">
      <c r="A17" s="1"/>
      <c r="B17" s="90" t="s">
        <v>11</v>
      </c>
      <c r="C17" s="91"/>
      <c r="D17" s="91"/>
      <c r="E17" s="91"/>
      <c r="F17" s="92"/>
      <c r="G17" s="90">
        <f>COUNTIF(B14:AF14,"A")</f>
        <v>0</v>
      </c>
      <c r="H17" s="91"/>
      <c r="I17" s="92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90" t="s">
        <v>12</v>
      </c>
      <c r="V17" s="91"/>
      <c r="W17" s="91"/>
      <c r="X17" s="91"/>
      <c r="Y17" s="91"/>
      <c r="Z17" s="92"/>
      <c r="AA17" s="90">
        <f>AG14+AG15</f>
        <v>245</v>
      </c>
      <c r="AB17" s="91"/>
      <c r="AC17" s="91"/>
      <c r="AD17" s="92"/>
      <c r="AE17" s="1"/>
      <c r="AF17" s="1"/>
      <c r="AG17" s="1"/>
    </row>
    <row r="18" spans="1:33" ht="15.75" thickBo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9.5" thickBot="1" x14ac:dyDescent="0.35">
      <c r="A19" s="93" t="s">
        <v>13</v>
      </c>
      <c r="B19" s="94"/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4"/>
      <c r="AB19" s="94"/>
      <c r="AC19" s="94"/>
      <c r="AD19" s="94"/>
      <c r="AE19" s="94"/>
      <c r="AF19" s="94"/>
      <c r="AG19" s="95"/>
    </row>
    <row r="20" spans="1:33" ht="19.5" thickBot="1" x14ac:dyDescent="0.35">
      <c r="A20" s="76" t="s">
        <v>14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8"/>
      <c r="Q20" s="76" t="s">
        <v>15</v>
      </c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77"/>
      <c r="AD20" s="77"/>
      <c r="AE20" s="77"/>
      <c r="AF20" s="77"/>
      <c r="AG20" s="78"/>
    </row>
    <row r="21" spans="1:33" x14ac:dyDescent="0.25">
      <c r="A21" s="65" t="s">
        <v>16</v>
      </c>
      <c r="B21" s="66"/>
      <c r="C21" s="66"/>
      <c r="D21" s="66"/>
      <c r="E21" s="67"/>
      <c r="F21" s="68">
        <v>1200</v>
      </c>
      <c r="G21" s="69"/>
      <c r="H21" s="69"/>
      <c r="I21" s="69"/>
      <c r="J21" s="69"/>
      <c r="K21" s="69"/>
      <c r="L21" s="69"/>
      <c r="M21" s="69"/>
      <c r="N21" s="69"/>
      <c r="O21" s="69"/>
      <c r="P21" s="70"/>
      <c r="Q21" s="65" t="s">
        <v>17</v>
      </c>
      <c r="R21" s="66"/>
      <c r="S21" s="66"/>
      <c r="T21" s="66"/>
      <c r="U21" s="66"/>
      <c r="V21" s="66"/>
      <c r="W21" s="66"/>
      <c r="X21" s="66"/>
      <c r="Y21" s="66"/>
      <c r="Z21" s="67"/>
      <c r="AA21" s="71">
        <f>F21/30*G17*2</f>
        <v>0</v>
      </c>
      <c r="AB21" s="71"/>
      <c r="AC21" s="71"/>
      <c r="AD21" s="71"/>
      <c r="AE21" s="71"/>
      <c r="AF21" s="71"/>
      <c r="AG21" s="72"/>
    </row>
    <row r="22" spans="1:33" x14ac:dyDescent="0.25">
      <c r="A22" s="49" t="s">
        <v>18</v>
      </c>
      <c r="B22" s="50"/>
      <c r="C22" s="50"/>
      <c r="D22" s="50"/>
      <c r="E22" s="51"/>
      <c r="F22" s="52">
        <v>0</v>
      </c>
      <c r="G22" s="53"/>
      <c r="H22" s="53"/>
      <c r="I22" s="53"/>
      <c r="J22" s="53"/>
      <c r="K22" s="53"/>
      <c r="L22" s="53"/>
      <c r="M22" s="53"/>
      <c r="N22" s="53"/>
      <c r="O22" s="53"/>
      <c r="P22" s="54"/>
      <c r="Q22" s="73" t="s">
        <v>19</v>
      </c>
      <c r="R22" s="74"/>
      <c r="S22" s="74"/>
      <c r="T22" s="74"/>
      <c r="U22" s="74"/>
      <c r="V22" s="74"/>
      <c r="W22" s="74"/>
      <c r="X22" s="74"/>
      <c r="Y22" s="74"/>
      <c r="Z22" s="75"/>
      <c r="AA22" s="55">
        <v>0</v>
      </c>
      <c r="AB22" s="55"/>
      <c r="AC22" s="55"/>
      <c r="AD22" s="55"/>
      <c r="AE22" s="55"/>
      <c r="AF22" s="55"/>
      <c r="AG22" s="56"/>
    </row>
    <row r="23" spans="1:33" x14ac:dyDescent="0.25">
      <c r="A23" s="49" t="s">
        <v>10</v>
      </c>
      <c r="B23" s="50"/>
      <c r="C23" s="50"/>
      <c r="D23" s="50"/>
      <c r="E23" s="51"/>
      <c r="F23" s="52">
        <f>F21/30/8*1.5*AG15</f>
        <v>337.5</v>
      </c>
      <c r="G23" s="53"/>
      <c r="H23" s="53"/>
      <c r="I23" s="53"/>
      <c r="J23" s="53"/>
      <c r="K23" s="53"/>
      <c r="L23" s="53"/>
      <c r="M23" s="53"/>
      <c r="N23" s="53"/>
      <c r="O23" s="53"/>
      <c r="P23" s="54"/>
      <c r="Q23" s="49" t="s">
        <v>20</v>
      </c>
      <c r="R23" s="50"/>
      <c r="S23" s="50"/>
      <c r="T23" s="50"/>
      <c r="U23" s="50"/>
      <c r="V23" s="50"/>
      <c r="W23" s="50"/>
      <c r="X23" s="50"/>
      <c r="Y23" s="50"/>
      <c r="Z23" s="51"/>
      <c r="AA23" s="55">
        <v>0</v>
      </c>
      <c r="AB23" s="55"/>
      <c r="AC23" s="55"/>
      <c r="AD23" s="55"/>
      <c r="AE23" s="55"/>
      <c r="AF23" s="55"/>
      <c r="AG23" s="56"/>
    </row>
    <row r="24" spans="1:33" ht="15.75" thickBot="1" x14ac:dyDescent="0.3">
      <c r="A24" s="57" t="s">
        <v>21</v>
      </c>
      <c r="B24" s="58"/>
      <c r="C24" s="58"/>
      <c r="D24" s="58"/>
      <c r="E24" s="59"/>
      <c r="F24" s="60">
        <f>SUM(F21:P23)</f>
        <v>1537.5</v>
      </c>
      <c r="G24" s="61"/>
      <c r="H24" s="61"/>
      <c r="I24" s="61"/>
      <c r="J24" s="61"/>
      <c r="K24" s="61"/>
      <c r="L24" s="61"/>
      <c r="M24" s="61"/>
      <c r="N24" s="61"/>
      <c r="O24" s="61"/>
      <c r="P24" s="62"/>
      <c r="Q24" s="57" t="s">
        <v>21</v>
      </c>
      <c r="R24" s="58"/>
      <c r="S24" s="58"/>
      <c r="T24" s="58"/>
      <c r="U24" s="58"/>
      <c r="V24" s="58"/>
      <c r="W24" s="58"/>
      <c r="X24" s="58"/>
      <c r="Y24" s="58"/>
      <c r="Z24" s="59"/>
      <c r="AA24" s="63">
        <f>SUM(AA21:AG23)</f>
        <v>0</v>
      </c>
      <c r="AB24" s="63"/>
      <c r="AC24" s="63"/>
      <c r="AD24" s="63"/>
      <c r="AE24" s="63"/>
      <c r="AF24" s="63"/>
      <c r="AG24" s="64"/>
    </row>
    <row r="25" spans="1:33" ht="15.75" thickBo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21.75" thickBot="1" x14ac:dyDescent="0.3">
      <c r="A26" s="9"/>
      <c r="B26" s="9"/>
      <c r="C26" s="9"/>
      <c r="D26" s="9"/>
      <c r="E26" s="44" t="s">
        <v>22</v>
      </c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6"/>
      <c r="S26" s="47">
        <f>F24-AA24</f>
        <v>1537.5</v>
      </c>
      <c r="T26" s="45"/>
      <c r="U26" s="45"/>
      <c r="V26" s="45"/>
      <c r="W26" s="45"/>
      <c r="X26" s="45"/>
      <c r="Y26" s="45"/>
      <c r="Z26" s="46"/>
      <c r="AA26" s="10"/>
      <c r="AB26" s="10"/>
      <c r="AC26" s="10"/>
      <c r="AD26" s="10"/>
      <c r="AE26" s="10"/>
      <c r="AF26" s="10"/>
      <c r="AG26" s="10"/>
    </row>
    <row r="36" spans="2:28" ht="18.75" x14ac:dyDescent="0.3">
      <c r="B36" s="48" t="s">
        <v>23</v>
      </c>
      <c r="C36" s="48"/>
      <c r="D36" s="48"/>
      <c r="E36" s="48"/>
      <c r="F36" s="48"/>
      <c r="G36" s="48"/>
      <c r="H36" s="48"/>
      <c r="V36" s="48" t="s">
        <v>24</v>
      </c>
      <c r="W36" s="48"/>
      <c r="X36" s="48"/>
      <c r="Y36" s="48"/>
      <c r="Z36" s="48"/>
      <c r="AA36" s="48"/>
      <c r="AB36" s="48"/>
    </row>
  </sheetData>
  <mergeCells count="39">
    <mergeCell ref="A7:AG7"/>
    <mergeCell ref="B9:I9"/>
    <mergeCell ref="K9:O9"/>
    <mergeCell ref="P9:V9"/>
    <mergeCell ref="X9:AB9"/>
    <mergeCell ref="AC9:AG9"/>
    <mergeCell ref="A20:P20"/>
    <mergeCell ref="Q20:AG20"/>
    <mergeCell ref="B10:I10"/>
    <mergeCell ref="K10:O10"/>
    <mergeCell ref="P10:V10"/>
    <mergeCell ref="X10:AB10"/>
    <mergeCell ref="AC10:AG10"/>
    <mergeCell ref="AG12:AG13"/>
    <mergeCell ref="B17:F17"/>
    <mergeCell ref="G17:I17"/>
    <mergeCell ref="U17:Z17"/>
    <mergeCell ref="AA17:AD17"/>
    <mergeCell ref="A19:AG19"/>
    <mergeCell ref="A21:E21"/>
    <mergeCell ref="F21:P21"/>
    <mergeCell ref="Q21:Z21"/>
    <mergeCell ref="AA21:AG21"/>
    <mergeCell ref="A22:E22"/>
    <mergeCell ref="F22:P22"/>
    <mergeCell ref="Q22:Z22"/>
    <mergeCell ref="AA22:AG22"/>
    <mergeCell ref="E26:R26"/>
    <mergeCell ref="S26:Z26"/>
    <mergeCell ref="B36:H36"/>
    <mergeCell ref="V36:AB36"/>
    <mergeCell ref="A23:E23"/>
    <mergeCell ref="F23:P23"/>
    <mergeCell ref="Q23:Z23"/>
    <mergeCell ref="AA23:AG23"/>
    <mergeCell ref="A24:E24"/>
    <mergeCell ref="F24:P24"/>
    <mergeCell ref="Q24:Z24"/>
    <mergeCell ref="AA24:AG24"/>
  </mergeCells>
  <phoneticPr fontId="9" type="noConversion"/>
  <conditionalFormatting sqref="B14:AF14">
    <cfRule type="containsText" dxfId="45" priority="1" operator="containsText" text="H">
      <formula>NOT(ISERROR(SEARCH("H",B14)))</formula>
    </cfRule>
  </conditionalFormatting>
  <conditionalFormatting sqref="B14:AF15">
    <cfRule type="containsText" dxfId="44" priority="2" operator="containsText" text="M">
      <formula>NOT(ISERROR(SEARCH("M",B14)))</formula>
    </cfRule>
    <cfRule type="expression" dxfId="43" priority="3">
      <formula>B$13="Fri"</formula>
    </cfRule>
    <cfRule type="containsText" dxfId="42" priority="4" operator="containsText" text="A">
      <formula>NOT(ISERROR(SEARCH("A",B14)))</formula>
    </cfRule>
  </conditionalFormatting>
  <conditionalFormatting sqref="F24:P24">
    <cfRule type="expression" dxfId="41" priority="5">
      <formula>B$13="Fri"</formula>
    </cfRule>
  </conditionalFormatting>
  <dataValidations count="1">
    <dataValidation errorStyle="information" allowBlank="1" showInputMessage="1" showErrorMessage="1" sqref="K13" xr:uid="{B00C69F8-2C2D-4537-AB7A-BDCDA16B0F87}"/>
  </dataValidations>
  <pageMargins left="0.7" right="0.7" top="0.75" bottom="0.75" header="0.3" footer="0.3"/>
  <pageSetup paperSize="9" scale="80" orientation="landscape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information" allowBlank="1" showInputMessage="1" xr:uid="{CFA714AB-E219-4B28-BC42-DC59CE3D059C}">
          <x14:formula1>
            <xm:f>DATA!$A$3:$A$13</xm:f>
          </x14:formula1>
          <xm:sqref>A7:AG7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4F2E0-0282-4CD3-8AE2-7A73E2C5C77D}">
  <sheetPr>
    <pageSetUpPr fitToPage="1"/>
  </sheetPr>
  <dimension ref="A1:AG36"/>
  <sheetViews>
    <sheetView workbookViewId="0">
      <selection activeCell="B12" sqref="B12:AF13"/>
    </sheetView>
  </sheetViews>
  <sheetFormatPr defaultRowHeight="15" x14ac:dyDescent="0.25"/>
  <cols>
    <col min="1" max="1" width="16.5703125" bestFit="1" customWidth="1"/>
    <col min="2" max="2" width="5.140625" bestFit="1" customWidth="1"/>
    <col min="3" max="3" width="4.140625" bestFit="1" customWidth="1"/>
    <col min="4" max="4" width="4.85546875" bestFit="1" customWidth="1"/>
    <col min="5" max="5" width="4.42578125" bestFit="1" customWidth="1"/>
    <col min="6" max="6" width="3.7109375" bestFit="1" customWidth="1"/>
    <col min="7" max="7" width="4.140625" bestFit="1" customWidth="1"/>
    <col min="8" max="8" width="4.7109375" bestFit="1" customWidth="1"/>
    <col min="9" max="9" width="5.140625" bestFit="1" customWidth="1"/>
    <col min="10" max="10" width="4.140625" bestFit="1" customWidth="1"/>
    <col min="11" max="11" width="4.85546875" bestFit="1" customWidth="1"/>
    <col min="12" max="12" width="4.42578125" bestFit="1" customWidth="1"/>
    <col min="13" max="13" width="3.7109375" bestFit="1" customWidth="1"/>
    <col min="14" max="14" width="4.140625" bestFit="1" customWidth="1"/>
    <col min="15" max="15" width="4.7109375" bestFit="1" customWidth="1"/>
    <col min="16" max="16" width="5.140625" bestFit="1" customWidth="1"/>
    <col min="17" max="17" width="4.140625" bestFit="1" customWidth="1"/>
    <col min="18" max="18" width="4.85546875" bestFit="1" customWidth="1"/>
    <col min="19" max="19" width="4.42578125" bestFit="1" customWidth="1"/>
    <col min="20" max="20" width="3.7109375" bestFit="1" customWidth="1"/>
    <col min="21" max="21" width="4.140625" bestFit="1" customWidth="1"/>
    <col min="22" max="22" width="4.7109375" bestFit="1" customWidth="1"/>
    <col min="23" max="23" width="5.140625" bestFit="1" customWidth="1"/>
    <col min="24" max="24" width="4.140625" bestFit="1" customWidth="1"/>
    <col min="25" max="25" width="4.85546875" bestFit="1" customWidth="1"/>
    <col min="26" max="26" width="4.42578125" bestFit="1" customWidth="1"/>
    <col min="27" max="27" width="3.7109375" bestFit="1" customWidth="1"/>
    <col min="28" max="28" width="4.140625" bestFit="1" customWidth="1"/>
    <col min="29" max="29" width="4.7109375" bestFit="1" customWidth="1"/>
    <col min="30" max="30" width="5.140625" bestFit="1" customWidth="1"/>
    <col min="31" max="31" width="4.140625" bestFit="1" customWidth="1"/>
    <col min="32" max="32" width="4.85546875" bestFit="1" customWidth="1"/>
    <col min="33" max="33" width="7.7109375" bestFit="1" customWidth="1"/>
  </cols>
  <sheetData>
    <row r="1" spans="1:33" ht="14.45" customHeight="1" x14ac:dyDescent="0.65"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</row>
    <row r="2" spans="1:33" ht="14.45" customHeight="1" x14ac:dyDescent="0.65"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</row>
    <row r="3" spans="1:33" ht="14.45" customHeight="1" x14ac:dyDescent="0.65"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</row>
    <row r="4" spans="1:33" ht="14.45" customHeight="1" x14ac:dyDescent="0.65"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</row>
    <row r="5" spans="1:33" ht="21" customHeight="1" x14ac:dyDescent="0.45"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</row>
    <row r="6" spans="1:33" ht="14.45" customHeight="1" x14ac:dyDescent="0.45">
      <c r="F6" s="1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</row>
    <row r="7" spans="1:33" ht="22.5" x14ac:dyDescent="0.25">
      <c r="A7" s="96" t="s">
        <v>54</v>
      </c>
      <c r="B7" s="97"/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97"/>
      <c r="AC7" s="97"/>
      <c r="AD7" s="97"/>
      <c r="AE7" s="97"/>
      <c r="AF7" s="97"/>
      <c r="AG7" s="97"/>
    </row>
    <row r="8" spans="1:33" ht="15.75" thickBot="1" x14ac:dyDescent="0.3"/>
    <row r="9" spans="1:33" ht="15.75" thickBot="1" x14ac:dyDescent="0.3">
      <c r="A9" s="2" t="s">
        <v>0</v>
      </c>
      <c r="B9" s="79" t="s">
        <v>44</v>
      </c>
      <c r="C9" s="80"/>
      <c r="D9" s="80"/>
      <c r="E9" s="80"/>
      <c r="F9" s="80"/>
      <c r="G9" s="80"/>
      <c r="H9" s="80"/>
      <c r="I9" s="81"/>
      <c r="J9" s="3"/>
      <c r="K9" s="98" t="s">
        <v>1</v>
      </c>
      <c r="L9" s="99"/>
      <c r="M9" s="99"/>
      <c r="N9" s="99"/>
      <c r="O9" s="100"/>
      <c r="P9" s="85">
        <v>108</v>
      </c>
      <c r="Q9" s="86"/>
      <c r="R9" s="86"/>
      <c r="S9" s="86"/>
      <c r="T9" s="86"/>
      <c r="U9" s="86"/>
      <c r="V9" s="87"/>
      <c r="W9" s="3"/>
      <c r="X9" s="98" t="s">
        <v>2</v>
      </c>
      <c r="Y9" s="99"/>
      <c r="Z9" s="99"/>
      <c r="AA9" s="99"/>
      <c r="AB9" s="100"/>
      <c r="AC9" s="101"/>
      <c r="AD9" s="102"/>
      <c r="AE9" s="102"/>
      <c r="AF9" s="102"/>
      <c r="AG9" s="103"/>
    </row>
    <row r="10" spans="1:33" ht="15.75" thickBot="1" x14ac:dyDescent="0.3">
      <c r="A10" s="4" t="s">
        <v>3</v>
      </c>
      <c r="B10" s="79">
        <v>2581081367</v>
      </c>
      <c r="C10" s="80"/>
      <c r="D10" s="80"/>
      <c r="E10" s="80"/>
      <c r="F10" s="80"/>
      <c r="G10" s="80"/>
      <c r="H10" s="80"/>
      <c r="I10" s="81"/>
      <c r="J10" s="3"/>
      <c r="K10" s="82" t="s">
        <v>4</v>
      </c>
      <c r="L10" s="83"/>
      <c r="M10" s="83"/>
      <c r="N10" s="83"/>
      <c r="O10" s="84"/>
      <c r="P10" s="85" t="s">
        <v>42</v>
      </c>
      <c r="Q10" s="86"/>
      <c r="R10" s="86"/>
      <c r="S10" s="86"/>
      <c r="T10" s="86"/>
      <c r="U10" s="86"/>
      <c r="V10" s="87"/>
      <c r="W10" s="3"/>
      <c r="X10" s="82" t="s">
        <v>5</v>
      </c>
      <c r="Y10" s="83"/>
      <c r="Z10" s="83"/>
      <c r="AA10" s="83"/>
      <c r="AB10" s="84"/>
      <c r="AC10" s="85"/>
      <c r="AD10" s="86"/>
      <c r="AE10" s="86"/>
      <c r="AF10" s="86"/>
      <c r="AG10" s="87"/>
    </row>
    <row r="11" spans="1:33" ht="15.75" thickBot="1" x14ac:dyDescent="0.3"/>
    <row r="12" spans="1:33" ht="16.5" thickBot="1" x14ac:dyDescent="0.3">
      <c r="A12" s="5" t="s">
        <v>6</v>
      </c>
      <c r="B12" s="12">
        <f>DATA!$I$4</f>
        <v>46023</v>
      </c>
      <c r="C12" s="12">
        <f>IF(B12&lt;DATA!$C$4,B12+1,"")</f>
        <v>46024</v>
      </c>
      <c r="D12" s="12">
        <f>IF(C12&lt;DATA!$C$4,C12+1,"")</f>
        <v>46025</v>
      </c>
      <c r="E12" s="12">
        <f>IF(D12&lt;DATA!$C$4,D12+1,"")</f>
        <v>46026</v>
      </c>
      <c r="F12" s="12">
        <f>IF(E12&lt;DATA!$C$4,E12+1,"")</f>
        <v>46027</v>
      </c>
      <c r="G12" s="12">
        <f>IF(F12&lt;DATA!$C$4,F12+1,"")</f>
        <v>46028</v>
      </c>
      <c r="H12" s="12">
        <f>IF(G12&lt;DATA!$C$4,G12+1,"")</f>
        <v>46029</v>
      </c>
      <c r="I12" s="12">
        <f>IF(H12&lt;DATA!$C$4,H12+1,"")</f>
        <v>46030</v>
      </c>
      <c r="J12" s="12">
        <f>IF(I12&lt;DATA!$C$4,I12+1,"")</f>
        <v>46031</v>
      </c>
      <c r="K12" s="12">
        <f>IF(J12&lt;DATA!$C$4,J12+1,"")</f>
        <v>46032</v>
      </c>
      <c r="L12" s="12">
        <f>IF(K12&lt;DATA!$C$4,K12+1,"")</f>
        <v>46033</v>
      </c>
      <c r="M12" s="12">
        <f>IF(L12&lt;DATA!$C$4,L12+1,"")</f>
        <v>46034</v>
      </c>
      <c r="N12" s="12">
        <f>IF(M12&lt;DATA!$C$4,M12+1,"")</f>
        <v>46035</v>
      </c>
      <c r="O12" s="12">
        <f>IF(N12&lt;DATA!$C$4,N12+1,"")</f>
        <v>46036</v>
      </c>
      <c r="P12" s="12">
        <f>IF(O12&lt;DATA!$C$4,O12+1,"")</f>
        <v>46037</v>
      </c>
      <c r="Q12" s="12">
        <f>IF(P12&lt;DATA!$C$4,P12+1,"")</f>
        <v>46038</v>
      </c>
      <c r="R12" s="12">
        <f>IF(Q12&lt;DATA!$C$4,Q12+1,"")</f>
        <v>46039</v>
      </c>
      <c r="S12" s="12">
        <f>IF(R12&lt;DATA!$C$4,R12+1,"")</f>
        <v>46040</v>
      </c>
      <c r="T12" s="12">
        <f>IF(S12&lt;DATA!$C$4,S12+1,"")</f>
        <v>46041</v>
      </c>
      <c r="U12" s="12">
        <f>IF(T12&lt;DATA!$C$4,T12+1,"")</f>
        <v>46042</v>
      </c>
      <c r="V12" s="12">
        <f>IF(U12&lt;DATA!$C$4,U12+1,"")</f>
        <v>46043</v>
      </c>
      <c r="W12" s="12">
        <f>IF(V12&lt;DATA!$C$4,V12+1,"")</f>
        <v>46044</v>
      </c>
      <c r="X12" s="12">
        <f>IF(W12&lt;DATA!$C$4,W12+1,"")</f>
        <v>46045</v>
      </c>
      <c r="Y12" s="12">
        <f>IF(X12&lt;DATA!$C$4,X12+1,"")</f>
        <v>46046</v>
      </c>
      <c r="Z12" s="12">
        <f>IF(Y12&lt;DATA!$C$4,Y12+1,"")</f>
        <v>46047</v>
      </c>
      <c r="AA12" s="12">
        <f>IF(Z12&lt;DATA!$C$4,Z12+1,"")</f>
        <v>46048</v>
      </c>
      <c r="AB12" s="12">
        <f>IF(AA12&lt;DATA!$C$4,AA12+1,"")</f>
        <v>46049</v>
      </c>
      <c r="AC12" s="12">
        <f>IF(AB12&lt;DATA!$C$4,AB12+1,"")</f>
        <v>46050</v>
      </c>
      <c r="AD12" s="12">
        <f>IF(AC12&lt;DATA!$C$4,AC12+1,"")</f>
        <v>46051</v>
      </c>
      <c r="AE12" s="12">
        <f>IF(AD12&lt;DATA!$C$4,AD12+1,"")</f>
        <v>46052</v>
      </c>
      <c r="AF12" s="12">
        <f>IF(AE12&lt;DATA!$C$4,AE12+1,"")</f>
        <v>46053</v>
      </c>
      <c r="AG12" s="88" t="s">
        <v>7</v>
      </c>
    </row>
    <row r="13" spans="1:33" ht="16.5" thickBot="1" x14ac:dyDescent="0.3">
      <c r="A13" s="5" t="s">
        <v>8</v>
      </c>
      <c r="B13" s="11" t="str">
        <f t="shared" ref="B13:AF13" si="0">TEXT(B12,"ddd")</f>
        <v>Thu</v>
      </c>
      <c r="C13" s="11" t="str">
        <f t="shared" si="0"/>
        <v>Fri</v>
      </c>
      <c r="D13" s="11" t="str">
        <f t="shared" si="0"/>
        <v>Sat</v>
      </c>
      <c r="E13" s="11" t="str">
        <f t="shared" si="0"/>
        <v>Sun</v>
      </c>
      <c r="F13" s="11" t="str">
        <f t="shared" si="0"/>
        <v>Mon</v>
      </c>
      <c r="G13" s="11" t="str">
        <f t="shared" si="0"/>
        <v>Tue</v>
      </c>
      <c r="H13" s="11" t="str">
        <f t="shared" si="0"/>
        <v>Wed</v>
      </c>
      <c r="I13" s="11" t="str">
        <f t="shared" si="0"/>
        <v>Thu</v>
      </c>
      <c r="J13" s="11" t="str">
        <f t="shared" si="0"/>
        <v>Fri</v>
      </c>
      <c r="K13" s="11" t="str">
        <f t="shared" si="0"/>
        <v>Sat</v>
      </c>
      <c r="L13" s="11" t="str">
        <f t="shared" si="0"/>
        <v>Sun</v>
      </c>
      <c r="M13" s="11" t="str">
        <f t="shared" si="0"/>
        <v>Mon</v>
      </c>
      <c r="N13" s="11" t="str">
        <f t="shared" si="0"/>
        <v>Tue</v>
      </c>
      <c r="O13" s="11" t="str">
        <f t="shared" si="0"/>
        <v>Wed</v>
      </c>
      <c r="P13" s="11" t="str">
        <f t="shared" si="0"/>
        <v>Thu</v>
      </c>
      <c r="Q13" s="11" t="str">
        <f t="shared" si="0"/>
        <v>Fri</v>
      </c>
      <c r="R13" s="11" t="str">
        <f t="shared" si="0"/>
        <v>Sat</v>
      </c>
      <c r="S13" s="11" t="str">
        <f t="shared" si="0"/>
        <v>Sun</v>
      </c>
      <c r="T13" s="11" t="str">
        <f t="shared" si="0"/>
        <v>Mon</v>
      </c>
      <c r="U13" s="11" t="str">
        <f t="shared" si="0"/>
        <v>Tue</v>
      </c>
      <c r="V13" s="11" t="str">
        <f t="shared" si="0"/>
        <v>Wed</v>
      </c>
      <c r="W13" s="11" t="str">
        <f t="shared" si="0"/>
        <v>Thu</v>
      </c>
      <c r="X13" s="11" t="str">
        <f t="shared" si="0"/>
        <v>Fri</v>
      </c>
      <c r="Y13" s="11" t="str">
        <f t="shared" si="0"/>
        <v>Sat</v>
      </c>
      <c r="Z13" s="11" t="str">
        <f t="shared" si="0"/>
        <v>Sun</v>
      </c>
      <c r="AA13" s="11" t="str">
        <f t="shared" si="0"/>
        <v>Mon</v>
      </c>
      <c r="AB13" s="11" t="str">
        <f t="shared" si="0"/>
        <v>Tue</v>
      </c>
      <c r="AC13" s="11" t="str">
        <f t="shared" si="0"/>
        <v>Wed</v>
      </c>
      <c r="AD13" s="11" t="str">
        <f t="shared" si="0"/>
        <v>Thu</v>
      </c>
      <c r="AE13" s="11" t="str">
        <f t="shared" si="0"/>
        <v>Fri</v>
      </c>
      <c r="AF13" s="11" t="str">
        <f t="shared" si="0"/>
        <v>Sat</v>
      </c>
      <c r="AG13" s="89"/>
    </row>
    <row r="14" spans="1:33" ht="16.5" thickBot="1" x14ac:dyDescent="0.3">
      <c r="A14" s="6" t="s">
        <v>9</v>
      </c>
      <c r="B14" s="13">
        <v>8</v>
      </c>
      <c r="C14" s="13"/>
      <c r="D14" s="13">
        <v>8</v>
      </c>
      <c r="E14" s="13">
        <v>8</v>
      </c>
      <c r="F14" s="13">
        <v>8</v>
      </c>
      <c r="G14" s="13">
        <v>8</v>
      </c>
      <c r="H14" s="13">
        <v>8</v>
      </c>
      <c r="I14" s="13">
        <v>8</v>
      </c>
      <c r="J14" s="13"/>
      <c r="K14" s="13">
        <v>8</v>
      </c>
      <c r="L14" s="13">
        <v>8</v>
      </c>
      <c r="M14" s="13">
        <v>8</v>
      </c>
      <c r="N14" s="13">
        <v>8</v>
      </c>
      <c r="O14" s="13">
        <v>8</v>
      </c>
      <c r="P14" s="13">
        <v>8</v>
      </c>
      <c r="Q14" s="13"/>
      <c r="R14" s="13">
        <v>8</v>
      </c>
      <c r="S14" s="13">
        <v>8</v>
      </c>
      <c r="T14" s="13">
        <v>8</v>
      </c>
      <c r="U14" s="13">
        <v>8</v>
      </c>
      <c r="V14" s="13">
        <v>8</v>
      </c>
      <c r="W14" s="13">
        <v>8</v>
      </c>
      <c r="X14" s="13"/>
      <c r="Y14" s="13">
        <v>8</v>
      </c>
      <c r="Z14" s="13">
        <v>8</v>
      </c>
      <c r="AA14" s="13">
        <v>8</v>
      </c>
      <c r="AB14" s="13">
        <v>8</v>
      </c>
      <c r="AC14" s="13">
        <v>8</v>
      </c>
      <c r="AD14" s="13">
        <v>8</v>
      </c>
      <c r="AE14" s="13"/>
      <c r="AF14" s="13"/>
      <c r="AG14" s="8">
        <f>SUM(B14:AF14)</f>
        <v>200</v>
      </c>
    </row>
    <row r="15" spans="1:33" ht="16.5" thickBot="1" x14ac:dyDescent="0.3">
      <c r="A15" s="7" t="s">
        <v>10</v>
      </c>
      <c r="B15" s="13">
        <v>2</v>
      </c>
      <c r="C15" s="13"/>
      <c r="D15" s="13">
        <v>2</v>
      </c>
      <c r="E15" s="13">
        <v>3</v>
      </c>
      <c r="F15" s="13">
        <v>3</v>
      </c>
      <c r="G15" s="13">
        <v>3</v>
      </c>
      <c r="H15" s="27">
        <v>4</v>
      </c>
      <c r="I15" s="13">
        <v>4</v>
      </c>
      <c r="J15" s="13"/>
      <c r="K15" s="13">
        <v>2</v>
      </c>
      <c r="L15" s="13">
        <v>4</v>
      </c>
      <c r="M15" s="13">
        <v>3</v>
      </c>
      <c r="N15" s="13">
        <v>4</v>
      </c>
      <c r="O15" s="27">
        <v>4</v>
      </c>
      <c r="P15" s="13">
        <v>3</v>
      </c>
      <c r="Q15" s="13"/>
      <c r="R15" s="13">
        <v>2</v>
      </c>
      <c r="S15" s="13">
        <v>2</v>
      </c>
      <c r="T15" s="13">
        <v>2</v>
      </c>
      <c r="U15" s="13"/>
      <c r="V15" s="13"/>
      <c r="W15" s="13">
        <v>2</v>
      </c>
      <c r="X15" s="13"/>
      <c r="Y15" s="13">
        <v>2</v>
      </c>
      <c r="Z15" s="13">
        <v>2</v>
      </c>
      <c r="AA15" s="13">
        <v>4</v>
      </c>
      <c r="AB15" s="13">
        <v>2</v>
      </c>
      <c r="AC15" s="13">
        <v>4</v>
      </c>
      <c r="AD15" s="13">
        <v>2</v>
      </c>
      <c r="AE15" s="13"/>
      <c r="AF15" s="13"/>
      <c r="AG15" s="8">
        <f>SUM(B15:AF15)</f>
        <v>65</v>
      </c>
    </row>
    <row r="16" spans="1:33" ht="15.75" thickBot="1" x14ac:dyDescent="0.3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6.5" thickBot="1" x14ac:dyDescent="0.3">
      <c r="A17" s="1"/>
      <c r="B17" s="90" t="s">
        <v>11</v>
      </c>
      <c r="C17" s="91"/>
      <c r="D17" s="91"/>
      <c r="E17" s="91"/>
      <c r="F17" s="92"/>
      <c r="G17" s="90">
        <f>COUNTIF(B14:AF14,"A")</f>
        <v>0</v>
      </c>
      <c r="H17" s="91"/>
      <c r="I17" s="92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90" t="s">
        <v>12</v>
      </c>
      <c r="V17" s="91"/>
      <c r="W17" s="91"/>
      <c r="X17" s="91"/>
      <c r="Y17" s="91"/>
      <c r="Z17" s="92"/>
      <c r="AA17" s="90">
        <f>AG14+AG15</f>
        <v>265</v>
      </c>
      <c r="AB17" s="91"/>
      <c r="AC17" s="91"/>
      <c r="AD17" s="92"/>
      <c r="AE17" s="1"/>
      <c r="AF17" s="1"/>
      <c r="AG17" s="1"/>
    </row>
    <row r="18" spans="1:33" ht="15.75" thickBo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9.5" thickBot="1" x14ac:dyDescent="0.35">
      <c r="A19" s="93" t="s">
        <v>13</v>
      </c>
      <c r="B19" s="94"/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4"/>
      <c r="AB19" s="94"/>
      <c r="AC19" s="94"/>
      <c r="AD19" s="94"/>
      <c r="AE19" s="94"/>
      <c r="AF19" s="94"/>
      <c r="AG19" s="95"/>
    </row>
    <row r="20" spans="1:33" ht="19.5" thickBot="1" x14ac:dyDescent="0.35">
      <c r="A20" s="76" t="s">
        <v>14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8"/>
      <c r="Q20" s="76" t="s">
        <v>15</v>
      </c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77"/>
      <c r="AD20" s="77"/>
      <c r="AE20" s="77"/>
      <c r="AF20" s="77"/>
      <c r="AG20" s="78"/>
    </row>
    <row r="21" spans="1:33" x14ac:dyDescent="0.25">
      <c r="A21" s="65" t="s">
        <v>16</v>
      </c>
      <c r="B21" s="66"/>
      <c r="C21" s="66"/>
      <c r="D21" s="66"/>
      <c r="E21" s="67"/>
      <c r="F21" s="68">
        <v>1200</v>
      </c>
      <c r="G21" s="69"/>
      <c r="H21" s="69"/>
      <c r="I21" s="69"/>
      <c r="J21" s="69"/>
      <c r="K21" s="69"/>
      <c r="L21" s="69"/>
      <c r="M21" s="69"/>
      <c r="N21" s="69"/>
      <c r="O21" s="69"/>
      <c r="P21" s="70"/>
      <c r="Q21" s="65" t="s">
        <v>17</v>
      </c>
      <c r="R21" s="66"/>
      <c r="S21" s="66"/>
      <c r="T21" s="66"/>
      <c r="U21" s="66"/>
      <c r="V21" s="66"/>
      <c r="W21" s="66"/>
      <c r="X21" s="66"/>
      <c r="Y21" s="66"/>
      <c r="Z21" s="67"/>
      <c r="AA21" s="71">
        <f>F21/30*G17*2</f>
        <v>0</v>
      </c>
      <c r="AB21" s="71"/>
      <c r="AC21" s="71"/>
      <c r="AD21" s="71"/>
      <c r="AE21" s="71"/>
      <c r="AF21" s="71"/>
      <c r="AG21" s="72"/>
    </row>
    <row r="22" spans="1:33" x14ac:dyDescent="0.25">
      <c r="A22" s="49" t="s">
        <v>18</v>
      </c>
      <c r="B22" s="50"/>
      <c r="C22" s="50"/>
      <c r="D22" s="50"/>
      <c r="E22" s="51"/>
      <c r="F22" s="52">
        <v>0</v>
      </c>
      <c r="G22" s="53"/>
      <c r="H22" s="53"/>
      <c r="I22" s="53"/>
      <c r="J22" s="53"/>
      <c r="K22" s="53"/>
      <c r="L22" s="53"/>
      <c r="M22" s="53"/>
      <c r="N22" s="53"/>
      <c r="O22" s="53"/>
      <c r="P22" s="54"/>
      <c r="Q22" s="73" t="s">
        <v>19</v>
      </c>
      <c r="R22" s="74"/>
      <c r="S22" s="74"/>
      <c r="T22" s="74"/>
      <c r="U22" s="74"/>
      <c r="V22" s="74"/>
      <c r="W22" s="74"/>
      <c r="X22" s="74"/>
      <c r="Y22" s="74"/>
      <c r="Z22" s="75"/>
      <c r="AA22" s="55">
        <v>0</v>
      </c>
      <c r="AB22" s="55"/>
      <c r="AC22" s="55"/>
      <c r="AD22" s="55"/>
      <c r="AE22" s="55"/>
      <c r="AF22" s="55"/>
      <c r="AG22" s="56"/>
    </row>
    <row r="23" spans="1:33" x14ac:dyDescent="0.25">
      <c r="A23" s="49" t="s">
        <v>10</v>
      </c>
      <c r="B23" s="50"/>
      <c r="C23" s="50"/>
      <c r="D23" s="50"/>
      <c r="E23" s="51"/>
      <c r="F23" s="52">
        <f>F21/30/8*1.5*AG15</f>
        <v>487.5</v>
      </c>
      <c r="G23" s="53"/>
      <c r="H23" s="53"/>
      <c r="I23" s="53"/>
      <c r="J23" s="53"/>
      <c r="K23" s="53"/>
      <c r="L23" s="53"/>
      <c r="M23" s="53"/>
      <c r="N23" s="53"/>
      <c r="O23" s="53"/>
      <c r="P23" s="54"/>
      <c r="Q23" s="49" t="s">
        <v>20</v>
      </c>
      <c r="R23" s="50"/>
      <c r="S23" s="50"/>
      <c r="T23" s="50"/>
      <c r="U23" s="50"/>
      <c r="V23" s="50"/>
      <c r="W23" s="50"/>
      <c r="X23" s="50"/>
      <c r="Y23" s="50"/>
      <c r="Z23" s="51"/>
      <c r="AA23" s="55">
        <v>0</v>
      </c>
      <c r="AB23" s="55"/>
      <c r="AC23" s="55"/>
      <c r="AD23" s="55"/>
      <c r="AE23" s="55"/>
      <c r="AF23" s="55"/>
      <c r="AG23" s="56"/>
    </row>
    <row r="24" spans="1:33" ht="15.75" thickBot="1" x14ac:dyDescent="0.3">
      <c r="A24" s="57" t="s">
        <v>21</v>
      </c>
      <c r="B24" s="58"/>
      <c r="C24" s="58"/>
      <c r="D24" s="58"/>
      <c r="E24" s="59"/>
      <c r="F24" s="60">
        <f>SUM(F21:P23)</f>
        <v>1687.5</v>
      </c>
      <c r="G24" s="61"/>
      <c r="H24" s="61"/>
      <c r="I24" s="61"/>
      <c r="J24" s="61"/>
      <c r="K24" s="61"/>
      <c r="L24" s="61"/>
      <c r="M24" s="61"/>
      <c r="N24" s="61"/>
      <c r="O24" s="61"/>
      <c r="P24" s="62"/>
      <c r="Q24" s="57" t="s">
        <v>21</v>
      </c>
      <c r="R24" s="58"/>
      <c r="S24" s="58"/>
      <c r="T24" s="58"/>
      <c r="U24" s="58"/>
      <c r="V24" s="58"/>
      <c r="W24" s="58"/>
      <c r="X24" s="58"/>
      <c r="Y24" s="58"/>
      <c r="Z24" s="59"/>
      <c r="AA24" s="63">
        <f>SUM(AA21:AG23)</f>
        <v>0</v>
      </c>
      <c r="AB24" s="63"/>
      <c r="AC24" s="63"/>
      <c r="AD24" s="63"/>
      <c r="AE24" s="63"/>
      <c r="AF24" s="63"/>
      <c r="AG24" s="64"/>
    </row>
    <row r="25" spans="1:33" ht="15.75" thickBo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21.75" thickBot="1" x14ac:dyDescent="0.3">
      <c r="A26" s="9"/>
      <c r="B26" s="9"/>
      <c r="C26" s="9"/>
      <c r="D26" s="9"/>
      <c r="E26" s="44" t="s">
        <v>22</v>
      </c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6"/>
      <c r="S26" s="47">
        <f>F24-AA24</f>
        <v>1687.5</v>
      </c>
      <c r="T26" s="45"/>
      <c r="U26" s="45"/>
      <c r="V26" s="45"/>
      <c r="W26" s="45"/>
      <c r="X26" s="45"/>
      <c r="Y26" s="45"/>
      <c r="Z26" s="46"/>
      <c r="AA26" s="10"/>
      <c r="AB26" s="10"/>
      <c r="AC26" s="10"/>
      <c r="AD26" s="10"/>
      <c r="AE26" s="10"/>
      <c r="AF26" s="10"/>
      <c r="AG26" s="10"/>
    </row>
    <row r="36" spans="2:28" ht="18.75" x14ac:dyDescent="0.3">
      <c r="B36" s="48" t="s">
        <v>23</v>
      </c>
      <c r="C36" s="48"/>
      <c r="D36" s="48"/>
      <c r="E36" s="48"/>
      <c r="F36" s="48"/>
      <c r="G36" s="48"/>
      <c r="H36" s="48"/>
      <c r="V36" s="48" t="s">
        <v>24</v>
      </c>
      <c r="W36" s="48"/>
      <c r="X36" s="48"/>
      <c r="Y36" s="48"/>
      <c r="Z36" s="48"/>
      <c r="AA36" s="48"/>
      <c r="AB36" s="48"/>
    </row>
  </sheetData>
  <mergeCells count="39">
    <mergeCell ref="A7:AG7"/>
    <mergeCell ref="B9:I9"/>
    <mergeCell ref="K9:O9"/>
    <mergeCell ref="P9:V9"/>
    <mergeCell ref="X9:AB9"/>
    <mergeCell ref="AC9:AG9"/>
    <mergeCell ref="A20:P20"/>
    <mergeCell ref="Q20:AG20"/>
    <mergeCell ref="B10:I10"/>
    <mergeCell ref="K10:O10"/>
    <mergeCell ref="P10:V10"/>
    <mergeCell ref="X10:AB10"/>
    <mergeCell ref="AC10:AG10"/>
    <mergeCell ref="AG12:AG13"/>
    <mergeCell ref="B17:F17"/>
    <mergeCell ref="G17:I17"/>
    <mergeCell ref="U17:Z17"/>
    <mergeCell ref="AA17:AD17"/>
    <mergeCell ref="A19:AG19"/>
    <mergeCell ref="A21:E21"/>
    <mergeCell ref="F21:P21"/>
    <mergeCell ref="Q21:Z21"/>
    <mergeCell ref="AA21:AG21"/>
    <mergeCell ref="A22:E22"/>
    <mergeCell ref="F22:P22"/>
    <mergeCell ref="Q22:Z22"/>
    <mergeCell ref="AA22:AG22"/>
    <mergeCell ref="E26:R26"/>
    <mergeCell ref="S26:Z26"/>
    <mergeCell ref="B36:H36"/>
    <mergeCell ref="V36:AB36"/>
    <mergeCell ref="A23:E23"/>
    <mergeCell ref="F23:P23"/>
    <mergeCell ref="Q23:Z23"/>
    <mergeCell ref="AA23:AG23"/>
    <mergeCell ref="A24:E24"/>
    <mergeCell ref="F24:P24"/>
    <mergeCell ref="Q24:Z24"/>
    <mergeCell ref="AA24:AG24"/>
  </mergeCells>
  <phoneticPr fontId="9" type="noConversion"/>
  <conditionalFormatting sqref="B14:AF14">
    <cfRule type="containsText" dxfId="40" priority="1" operator="containsText" text="H">
      <formula>NOT(ISERROR(SEARCH("H",B14)))</formula>
    </cfRule>
  </conditionalFormatting>
  <conditionalFormatting sqref="B14:AF15">
    <cfRule type="containsText" dxfId="39" priority="2" operator="containsText" text="M">
      <formula>NOT(ISERROR(SEARCH("M",B14)))</formula>
    </cfRule>
    <cfRule type="expression" dxfId="38" priority="3">
      <formula>B$13="Fri"</formula>
    </cfRule>
    <cfRule type="containsText" dxfId="37" priority="4" operator="containsText" text="A">
      <formula>NOT(ISERROR(SEARCH("A",B14)))</formula>
    </cfRule>
  </conditionalFormatting>
  <conditionalFormatting sqref="F24:P24">
    <cfRule type="expression" dxfId="36" priority="5">
      <formula>B$13="Fri"</formula>
    </cfRule>
  </conditionalFormatting>
  <dataValidations count="1">
    <dataValidation errorStyle="information" allowBlank="1" showInputMessage="1" showErrorMessage="1" sqref="K13" xr:uid="{950984D8-CFC4-4E85-8556-DF45F217403C}"/>
  </dataValidations>
  <pageMargins left="0.7" right="0.7" top="0.75" bottom="0.75" header="0.3" footer="0.3"/>
  <pageSetup paperSize="9" scale="82" orientation="landscape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information" allowBlank="1" showInputMessage="1" xr:uid="{5C81C4B5-496C-46BD-BB0B-A8B48917AF0F}">
          <x14:formula1>
            <xm:f>DATA!$A$3:$A$13</xm:f>
          </x14:formula1>
          <xm:sqref>A7:AG7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28110-1477-4D37-A445-4A498AF71410}">
  <sheetPr>
    <pageSetUpPr fitToPage="1"/>
  </sheetPr>
  <dimension ref="A1:AG36"/>
  <sheetViews>
    <sheetView workbookViewId="0">
      <selection activeCell="B12" sqref="B12:AF13"/>
    </sheetView>
  </sheetViews>
  <sheetFormatPr defaultRowHeight="15" x14ac:dyDescent="0.25"/>
  <cols>
    <col min="1" max="1" width="16.5703125" bestFit="1" customWidth="1"/>
    <col min="2" max="2" width="5.140625" bestFit="1" customWidth="1"/>
    <col min="3" max="3" width="4.140625" bestFit="1" customWidth="1"/>
    <col min="4" max="4" width="4.85546875" bestFit="1" customWidth="1"/>
    <col min="5" max="5" width="4.42578125" bestFit="1" customWidth="1"/>
    <col min="6" max="6" width="5.140625" bestFit="1" customWidth="1"/>
    <col min="7" max="7" width="4.140625" bestFit="1" customWidth="1"/>
    <col min="8" max="8" width="4.7109375" bestFit="1" customWidth="1"/>
    <col min="9" max="9" width="5.140625" bestFit="1" customWidth="1"/>
    <col min="10" max="10" width="4.140625" bestFit="1" customWidth="1"/>
    <col min="11" max="11" width="4.85546875" bestFit="1" customWidth="1"/>
    <col min="12" max="12" width="4.42578125" bestFit="1" customWidth="1"/>
    <col min="13" max="13" width="3.7109375" bestFit="1" customWidth="1"/>
    <col min="14" max="14" width="4.140625" bestFit="1" customWidth="1"/>
    <col min="15" max="15" width="4.7109375" bestFit="1" customWidth="1"/>
    <col min="16" max="16" width="5.140625" bestFit="1" customWidth="1"/>
    <col min="17" max="17" width="4.140625" bestFit="1" customWidth="1"/>
    <col min="18" max="18" width="4.85546875" bestFit="1" customWidth="1"/>
    <col min="19" max="19" width="4.42578125" bestFit="1" customWidth="1"/>
    <col min="20" max="20" width="3.7109375" bestFit="1" customWidth="1"/>
    <col min="21" max="21" width="4.140625" bestFit="1" customWidth="1"/>
    <col min="22" max="22" width="4.7109375" bestFit="1" customWidth="1"/>
    <col min="23" max="23" width="5.140625" bestFit="1" customWidth="1"/>
    <col min="24" max="24" width="4.140625" bestFit="1" customWidth="1"/>
    <col min="25" max="25" width="4.85546875" bestFit="1" customWidth="1"/>
    <col min="26" max="26" width="4.42578125" bestFit="1" customWidth="1"/>
    <col min="27" max="27" width="5.140625" bestFit="1" customWidth="1"/>
    <col min="28" max="28" width="4.140625" bestFit="1" customWidth="1"/>
    <col min="29" max="29" width="4.7109375" bestFit="1" customWidth="1"/>
    <col min="30" max="30" width="5.140625" bestFit="1" customWidth="1"/>
    <col min="31" max="31" width="4.140625" bestFit="1" customWidth="1"/>
    <col min="32" max="32" width="4.85546875" bestFit="1" customWidth="1"/>
    <col min="33" max="33" width="7.7109375" bestFit="1" customWidth="1"/>
  </cols>
  <sheetData>
    <row r="1" spans="1:33" ht="14.45" customHeight="1" x14ac:dyDescent="0.65"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</row>
    <row r="2" spans="1:33" ht="14.45" customHeight="1" x14ac:dyDescent="0.65"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</row>
    <row r="3" spans="1:33" ht="14.45" customHeight="1" x14ac:dyDescent="0.65"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</row>
    <row r="4" spans="1:33" ht="14.45" customHeight="1" x14ac:dyDescent="0.65"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</row>
    <row r="5" spans="1:33" ht="21" customHeight="1" x14ac:dyDescent="0.45"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</row>
    <row r="6" spans="1:33" ht="14.45" customHeight="1" x14ac:dyDescent="0.45">
      <c r="F6" s="1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</row>
    <row r="7" spans="1:33" ht="22.5" x14ac:dyDescent="0.25">
      <c r="A7" s="96" t="s">
        <v>54</v>
      </c>
      <c r="B7" s="97"/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97"/>
      <c r="AC7" s="97"/>
      <c r="AD7" s="97"/>
      <c r="AE7" s="97"/>
      <c r="AF7" s="97"/>
      <c r="AG7" s="97"/>
    </row>
    <row r="8" spans="1:33" ht="15.75" thickBot="1" x14ac:dyDescent="0.3"/>
    <row r="9" spans="1:33" ht="15.75" thickBot="1" x14ac:dyDescent="0.3">
      <c r="A9" s="2" t="s">
        <v>0</v>
      </c>
      <c r="B9" s="79" t="s">
        <v>45</v>
      </c>
      <c r="C9" s="80"/>
      <c r="D9" s="80"/>
      <c r="E9" s="80"/>
      <c r="F9" s="80"/>
      <c r="G9" s="80"/>
      <c r="H9" s="80"/>
      <c r="I9" s="81"/>
      <c r="J9" s="3"/>
      <c r="K9" s="98" t="s">
        <v>1</v>
      </c>
      <c r="L9" s="99"/>
      <c r="M9" s="99"/>
      <c r="N9" s="99"/>
      <c r="O9" s="100"/>
      <c r="P9" s="85">
        <v>109</v>
      </c>
      <c r="Q9" s="86"/>
      <c r="R9" s="86"/>
      <c r="S9" s="86"/>
      <c r="T9" s="86"/>
      <c r="U9" s="86"/>
      <c r="V9" s="87"/>
      <c r="W9" s="3"/>
      <c r="X9" s="98" t="s">
        <v>2</v>
      </c>
      <c r="Y9" s="99"/>
      <c r="Z9" s="99"/>
      <c r="AA9" s="99"/>
      <c r="AB9" s="100"/>
      <c r="AC9" s="101"/>
      <c r="AD9" s="102"/>
      <c r="AE9" s="102"/>
      <c r="AF9" s="102"/>
      <c r="AG9" s="103"/>
    </row>
    <row r="10" spans="1:33" ht="15.75" thickBot="1" x14ac:dyDescent="0.3">
      <c r="A10" s="4" t="s">
        <v>3</v>
      </c>
      <c r="B10" s="79">
        <v>2581081037</v>
      </c>
      <c r="C10" s="80"/>
      <c r="D10" s="80"/>
      <c r="E10" s="80"/>
      <c r="F10" s="80"/>
      <c r="G10" s="80"/>
      <c r="H10" s="80"/>
      <c r="I10" s="81"/>
      <c r="J10" s="3"/>
      <c r="K10" s="82" t="s">
        <v>4</v>
      </c>
      <c r="L10" s="83"/>
      <c r="M10" s="83"/>
      <c r="N10" s="83"/>
      <c r="O10" s="84"/>
      <c r="P10" s="85" t="s">
        <v>42</v>
      </c>
      <c r="Q10" s="86"/>
      <c r="R10" s="86"/>
      <c r="S10" s="86"/>
      <c r="T10" s="86"/>
      <c r="U10" s="86"/>
      <c r="V10" s="87"/>
      <c r="W10" s="3"/>
      <c r="X10" s="82" t="s">
        <v>5</v>
      </c>
      <c r="Y10" s="83"/>
      <c r="Z10" s="83"/>
      <c r="AA10" s="83"/>
      <c r="AB10" s="84"/>
      <c r="AC10" s="85"/>
      <c r="AD10" s="86"/>
      <c r="AE10" s="86"/>
      <c r="AF10" s="86"/>
      <c r="AG10" s="87"/>
    </row>
    <row r="11" spans="1:33" ht="15.75" thickBot="1" x14ac:dyDescent="0.3"/>
    <row r="12" spans="1:33" ht="16.5" thickBot="1" x14ac:dyDescent="0.3">
      <c r="A12" s="5" t="s">
        <v>6</v>
      </c>
      <c r="B12" s="12">
        <f>DATA!$I$4</f>
        <v>46023</v>
      </c>
      <c r="C12" s="12">
        <f>IF(B12&lt;DATA!$C$4,B12+1,"")</f>
        <v>46024</v>
      </c>
      <c r="D12" s="12">
        <f>IF(C12&lt;DATA!$C$4,C12+1,"")</f>
        <v>46025</v>
      </c>
      <c r="E12" s="12">
        <f>IF(D12&lt;DATA!$C$4,D12+1,"")</f>
        <v>46026</v>
      </c>
      <c r="F12" s="12">
        <f>IF(E12&lt;DATA!$C$4,E12+1,"")</f>
        <v>46027</v>
      </c>
      <c r="G12" s="12">
        <f>IF(F12&lt;DATA!$C$4,F12+1,"")</f>
        <v>46028</v>
      </c>
      <c r="H12" s="12">
        <f>IF(G12&lt;DATA!$C$4,G12+1,"")</f>
        <v>46029</v>
      </c>
      <c r="I12" s="12">
        <f>IF(H12&lt;DATA!$C$4,H12+1,"")</f>
        <v>46030</v>
      </c>
      <c r="J12" s="12">
        <f>IF(I12&lt;DATA!$C$4,I12+1,"")</f>
        <v>46031</v>
      </c>
      <c r="K12" s="12">
        <f>IF(J12&lt;DATA!$C$4,J12+1,"")</f>
        <v>46032</v>
      </c>
      <c r="L12" s="12">
        <f>IF(K12&lt;DATA!$C$4,K12+1,"")</f>
        <v>46033</v>
      </c>
      <c r="M12" s="12">
        <f>IF(L12&lt;DATA!$C$4,L12+1,"")</f>
        <v>46034</v>
      </c>
      <c r="N12" s="12">
        <f>IF(M12&lt;DATA!$C$4,M12+1,"")</f>
        <v>46035</v>
      </c>
      <c r="O12" s="12">
        <f>IF(N12&lt;DATA!$C$4,N12+1,"")</f>
        <v>46036</v>
      </c>
      <c r="P12" s="12">
        <f>IF(O12&lt;DATA!$C$4,O12+1,"")</f>
        <v>46037</v>
      </c>
      <c r="Q12" s="12">
        <f>IF(P12&lt;DATA!$C$4,P12+1,"")</f>
        <v>46038</v>
      </c>
      <c r="R12" s="12">
        <f>IF(Q12&lt;DATA!$C$4,Q12+1,"")</f>
        <v>46039</v>
      </c>
      <c r="S12" s="12">
        <f>IF(R12&lt;DATA!$C$4,R12+1,"")</f>
        <v>46040</v>
      </c>
      <c r="T12" s="12">
        <f>IF(S12&lt;DATA!$C$4,S12+1,"")</f>
        <v>46041</v>
      </c>
      <c r="U12" s="12">
        <f>IF(T12&lt;DATA!$C$4,T12+1,"")</f>
        <v>46042</v>
      </c>
      <c r="V12" s="12">
        <f>IF(U12&lt;DATA!$C$4,U12+1,"")</f>
        <v>46043</v>
      </c>
      <c r="W12" s="12">
        <f>IF(V12&lt;DATA!$C$4,V12+1,"")</f>
        <v>46044</v>
      </c>
      <c r="X12" s="12">
        <f>IF(W12&lt;DATA!$C$4,W12+1,"")</f>
        <v>46045</v>
      </c>
      <c r="Y12" s="12">
        <f>IF(X12&lt;DATA!$C$4,X12+1,"")</f>
        <v>46046</v>
      </c>
      <c r="Z12" s="12">
        <f>IF(Y12&lt;DATA!$C$4,Y12+1,"")</f>
        <v>46047</v>
      </c>
      <c r="AA12" s="12">
        <f>IF(Z12&lt;DATA!$C$4,Z12+1,"")</f>
        <v>46048</v>
      </c>
      <c r="AB12" s="12">
        <f>IF(AA12&lt;DATA!$C$4,AA12+1,"")</f>
        <v>46049</v>
      </c>
      <c r="AC12" s="12">
        <f>IF(AB12&lt;DATA!$C$4,AB12+1,"")</f>
        <v>46050</v>
      </c>
      <c r="AD12" s="12">
        <f>IF(AC12&lt;DATA!$C$4,AC12+1,"")</f>
        <v>46051</v>
      </c>
      <c r="AE12" s="12">
        <f>IF(AD12&lt;DATA!$C$4,AD12+1,"")</f>
        <v>46052</v>
      </c>
      <c r="AF12" s="12">
        <f>IF(AE12&lt;DATA!$C$4,AE12+1,"")</f>
        <v>46053</v>
      </c>
      <c r="AG12" s="88" t="s">
        <v>7</v>
      </c>
    </row>
    <row r="13" spans="1:33" ht="16.5" thickBot="1" x14ac:dyDescent="0.3">
      <c r="A13" s="5" t="s">
        <v>8</v>
      </c>
      <c r="B13" s="11" t="str">
        <f t="shared" ref="B13:AF13" si="0">TEXT(B12,"ddd")</f>
        <v>Thu</v>
      </c>
      <c r="C13" s="11" t="str">
        <f t="shared" si="0"/>
        <v>Fri</v>
      </c>
      <c r="D13" s="11" t="str">
        <f t="shared" si="0"/>
        <v>Sat</v>
      </c>
      <c r="E13" s="11" t="str">
        <f t="shared" si="0"/>
        <v>Sun</v>
      </c>
      <c r="F13" s="11" t="str">
        <f t="shared" si="0"/>
        <v>Mon</v>
      </c>
      <c r="G13" s="11" t="str">
        <f t="shared" si="0"/>
        <v>Tue</v>
      </c>
      <c r="H13" s="11" t="str">
        <f t="shared" si="0"/>
        <v>Wed</v>
      </c>
      <c r="I13" s="11" t="str">
        <f t="shared" si="0"/>
        <v>Thu</v>
      </c>
      <c r="J13" s="11" t="str">
        <f t="shared" si="0"/>
        <v>Fri</v>
      </c>
      <c r="K13" s="11" t="str">
        <f t="shared" si="0"/>
        <v>Sat</v>
      </c>
      <c r="L13" s="11" t="str">
        <f t="shared" si="0"/>
        <v>Sun</v>
      </c>
      <c r="M13" s="11" t="str">
        <f t="shared" si="0"/>
        <v>Mon</v>
      </c>
      <c r="N13" s="11" t="str">
        <f t="shared" si="0"/>
        <v>Tue</v>
      </c>
      <c r="O13" s="11" t="str">
        <f t="shared" si="0"/>
        <v>Wed</v>
      </c>
      <c r="P13" s="11" t="str">
        <f t="shared" si="0"/>
        <v>Thu</v>
      </c>
      <c r="Q13" s="11" t="str">
        <f t="shared" si="0"/>
        <v>Fri</v>
      </c>
      <c r="R13" s="11" t="str">
        <f t="shared" si="0"/>
        <v>Sat</v>
      </c>
      <c r="S13" s="11" t="str">
        <f t="shared" si="0"/>
        <v>Sun</v>
      </c>
      <c r="T13" s="11" t="str">
        <f t="shared" si="0"/>
        <v>Mon</v>
      </c>
      <c r="U13" s="11" t="str">
        <f t="shared" si="0"/>
        <v>Tue</v>
      </c>
      <c r="V13" s="11" t="str">
        <f t="shared" si="0"/>
        <v>Wed</v>
      </c>
      <c r="W13" s="11" t="str">
        <f t="shared" si="0"/>
        <v>Thu</v>
      </c>
      <c r="X13" s="11" t="str">
        <f t="shared" si="0"/>
        <v>Fri</v>
      </c>
      <c r="Y13" s="11" t="str">
        <f t="shared" si="0"/>
        <v>Sat</v>
      </c>
      <c r="Z13" s="11" t="str">
        <f t="shared" si="0"/>
        <v>Sun</v>
      </c>
      <c r="AA13" s="11" t="str">
        <f t="shared" si="0"/>
        <v>Mon</v>
      </c>
      <c r="AB13" s="11" t="str">
        <f t="shared" si="0"/>
        <v>Tue</v>
      </c>
      <c r="AC13" s="11" t="str">
        <f t="shared" si="0"/>
        <v>Wed</v>
      </c>
      <c r="AD13" s="11" t="str">
        <f t="shared" si="0"/>
        <v>Thu</v>
      </c>
      <c r="AE13" s="11" t="str">
        <f t="shared" si="0"/>
        <v>Fri</v>
      </c>
      <c r="AF13" s="11" t="str">
        <f t="shared" si="0"/>
        <v>Sat</v>
      </c>
      <c r="AG13" s="89"/>
    </row>
    <row r="14" spans="1:33" ht="16.5" thickBot="1" x14ac:dyDescent="0.3">
      <c r="A14" s="6" t="s">
        <v>9</v>
      </c>
      <c r="B14" s="13">
        <v>8</v>
      </c>
      <c r="C14" s="13"/>
      <c r="D14" s="13">
        <v>8</v>
      </c>
      <c r="E14" s="13">
        <v>8</v>
      </c>
      <c r="F14" s="13">
        <v>8</v>
      </c>
      <c r="G14" s="13">
        <v>8</v>
      </c>
      <c r="H14" s="13">
        <v>8</v>
      </c>
      <c r="I14" s="13">
        <v>8</v>
      </c>
      <c r="J14" s="13"/>
      <c r="K14" s="13">
        <v>8</v>
      </c>
      <c r="L14" s="13">
        <v>8</v>
      </c>
      <c r="M14" s="13">
        <v>8</v>
      </c>
      <c r="N14" s="13">
        <v>8</v>
      </c>
      <c r="O14" s="13">
        <v>8</v>
      </c>
      <c r="P14" s="13">
        <v>8</v>
      </c>
      <c r="Q14" s="13"/>
      <c r="R14" s="13">
        <v>8</v>
      </c>
      <c r="S14" s="13">
        <v>8</v>
      </c>
      <c r="T14" s="13">
        <v>8</v>
      </c>
      <c r="U14" s="13">
        <v>8</v>
      </c>
      <c r="V14" s="13">
        <v>8</v>
      </c>
      <c r="W14" s="13">
        <v>8</v>
      </c>
      <c r="X14" s="13"/>
      <c r="Y14" s="13">
        <v>8</v>
      </c>
      <c r="Z14" s="13">
        <v>8</v>
      </c>
      <c r="AA14" s="13">
        <v>8</v>
      </c>
      <c r="AB14" s="13">
        <v>8</v>
      </c>
      <c r="AC14" s="13">
        <v>8</v>
      </c>
      <c r="AD14" s="13">
        <v>8</v>
      </c>
      <c r="AE14" s="13"/>
      <c r="AF14" s="13"/>
      <c r="AG14" s="5">
        <f>SUM(B14:AF14)</f>
        <v>200</v>
      </c>
    </row>
    <row r="15" spans="1:33" ht="16.5" thickBot="1" x14ac:dyDescent="0.3">
      <c r="A15" s="7" t="s">
        <v>10</v>
      </c>
      <c r="B15" s="13"/>
      <c r="C15" s="13">
        <v>6</v>
      </c>
      <c r="D15" s="13">
        <v>2</v>
      </c>
      <c r="E15" s="13">
        <v>2</v>
      </c>
      <c r="F15" s="13">
        <v>2</v>
      </c>
      <c r="G15" s="13">
        <v>2</v>
      </c>
      <c r="H15" s="27">
        <v>4</v>
      </c>
      <c r="I15" s="13">
        <v>3</v>
      </c>
      <c r="J15" s="13">
        <v>6</v>
      </c>
      <c r="K15" s="13">
        <v>2</v>
      </c>
      <c r="L15" s="13">
        <v>2</v>
      </c>
      <c r="M15" s="13">
        <v>2</v>
      </c>
      <c r="N15" s="13">
        <v>2</v>
      </c>
      <c r="O15" s="27">
        <v>2</v>
      </c>
      <c r="P15" s="13">
        <v>2</v>
      </c>
      <c r="Q15" s="13"/>
      <c r="R15" s="13">
        <v>2</v>
      </c>
      <c r="S15" s="13">
        <v>2</v>
      </c>
      <c r="T15" s="13">
        <v>2</v>
      </c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8">
        <f>SUM(B15:AF15)</f>
        <v>45</v>
      </c>
    </row>
    <row r="16" spans="1:33" ht="15.75" thickBot="1" x14ac:dyDescent="0.3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6.5" thickBot="1" x14ac:dyDescent="0.3">
      <c r="A17" s="1"/>
      <c r="B17" s="90" t="s">
        <v>11</v>
      </c>
      <c r="C17" s="91"/>
      <c r="D17" s="91"/>
      <c r="E17" s="91"/>
      <c r="F17" s="92"/>
      <c r="G17" s="90">
        <f>COUNTIF(B14:AF14,"A")</f>
        <v>0</v>
      </c>
      <c r="H17" s="91"/>
      <c r="I17" s="92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90" t="s">
        <v>12</v>
      </c>
      <c r="V17" s="91"/>
      <c r="W17" s="91"/>
      <c r="X17" s="91"/>
      <c r="Y17" s="91"/>
      <c r="Z17" s="92"/>
      <c r="AA17" s="90">
        <f>AG14+AG15</f>
        <v>245</v>
      </c>
      <c r="AB17" s="91"/>
      <c r="AC17" s="91"/>
      <c r="AD17" s="92"/>
      <c r="AE17" s="1"/>
      <c r="AF17" s="1"/>
      <c r="AG17" s="1"/>
    </row>
    <row r="18" spans="1:33" ht="15.75" thickBo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9.5" thickBot="1" x14ac:dyDescent="0.35">
      <c r="A19" s="93" t="s">
        <v>13</v>
      </c>
      <c r="B19" s="94"/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4"/>
      <c r="AB19" s="94"/>
      <c r="AC19" s="94"/>
      <c r="AD19" s="94"/>
      <c r="AE19" s="94"/>
      <c r="AF19" s="94"/>
      <c r="AG19" s="95"/>
    </row>
    <row r="20" spans="1:33" ht="19.5" thickBot="1" x14ac:dyDescent="0.35">
      <c r="A20" s="76" t="s">
        <v>14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8"/>
      <c r="Q20" s="76" t="s">
        <v>15</v>
      </c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77"/>
      <c r="AD20" s="77"/>
      <c r="AE20" s="77"/>
      <c r="AF20" s="77"/>
      <c r="AG20" s="78"/>
    </row>
    <row r="21" spans="1:33" x14ac:dyDescent="0.25">
      <c r="A21" s="65" t="s">
        <v>16</v>
      </c>
      <c r="B21" s="66"/>
      <c r="C21" s="66"/>
      <c r="D21" s="66"/>
      <c r="E21" s="67"/>
      <c r="F21" s="68">
        <v>1300</v>
      </c>
      <c r="G21" s="69"/>
      <c r="H21" s="69"/>
      <c r="I21" s="69"/>
      <c r="J21" s="69"/>
      <c r="K21" s="69"/>
      <c r="L21" s="69"/>
      <c r="M21" s="69"/>
      <c r="N21" s="69"/>
      <c r="O21" s="69"/>
      <c r="P21" s="70"/>
      <c r="Q21" s="65" t="s">
        <v>17</v>
      </c>
      <c r="R21" s="66"/>
      <c r="S21" s="66"/>
      <c r="T21" s="66"/>
      <c r="U21" s="66"/>
      <c r="V21" s="66"/>
      <c r="W21" s="66"/>
      <c r="X21" s="66"/>
      <c r="Y21" s="66"/>
      <c r="Z21" s="67"/>
      <c r="AA21" s="71">
        <f>F21/30*G17*2</f>
        <v>0</v>
      </c>
      <c r="AB21" s="71"/>
      <c r="AC21" s="71"/>
      <c r="AD21" s="71"/>
      <c r="AE21" s="71"/>
      <c r="AF21" s="71"/>
      <c r="AG21" s="72"/>
    </row>
    <row r="22" spans="1:33" x14ac:dyDescent="0.25">
      <c r="A22" s="49" t="s">
        <v>18</v>
      </c>
      <c r="B22" s="50"/>
      <c r="C22" s="50"/>
      <c r="D22" s="50"/>
      <c r="E22" s="51"/>
      <c r="F22" s="52">
        <v>0</v>
      </c>
      <c r="G22" s="53"/>
      <c r="H22" s="53"/>
      <c r="I22" s="53"/>
      <c r="J22" s="53"/>
      <c r="K22" s="53"/>
      <c r="L22" s="53"/>
      <c r="M22" s="53"/>
      <c r="N22" s="53"/>
      <c r="O22" s="53"/>
      <c r="P22" s="54"/>
      <c r="Q22" s="73" t="s">
        <v>19</v>
      </c>
      <c r="R22" s="74"/>
      <c r="S22" s="74"/>
      <c r="T22" s="74"/>
      <c r="U22" s="74"/>
      <c r="V22" s="74"/>
      <c r="W22" s="74"/>
      <c r="X22" s="74"/>
      <c r="Y22" s="74"/>
      <c r="Z22" s="75"/>
      <c r="AA22" s="55">
        <v>0</v>
      </c>
      <c r="AB22" s="55"/>
      <c r="AC22" s="55"/>
      <c r="AD22" s="55"/>
      <c r="AE22" s="55"/>
      <c r="AF22" s="55"/>
      <c r="AG22" s="56"/>
    </row>
    <row r="23" spans="1:33" x14ac:dyDescent="0.25">
      <c r="A23" s="49" t="s">
        <v>10</v>
      </c>
      <c r="B23" s="50"/>
      <c r="C23" s="50"/>
      <c r="D23" s="50"/>
      <c r="E23" s="51"/>
      <c r="F23" s="52">
        <f>F21/30/8*1.5*AG15</f>
        <v>365.625</v>
      </c>
      <c r="G23" s="53"/>
      <c r="H23" s="53"/>
      <c r="I23" s="53"/>
      <c r="J23" s="53"/>
      <c r="K23" s="53"/>
      <c r="L23" s="53"/>
      <c r="M23" s="53"/>
      <c r="N23" s="53"/>
      <c r="O23" s="53"/>
      <c r="P23" s="54"/>
      <c r="Q23" s="49" t="s">
        <v>20</v>
      </c>
      <c r="R23" s="50"/>
      <c r="S23" s="50"/>
      <c r="T23" s="50"/>
      <c r="U23" s="50"/>
      <c r="V23" s="50"/>
      <c r="W23" s="50"/>
      <c r="X23" s="50"/>
      <c r="Y23" s="50"/>
      <c r="Z23" s="51"/>
      <c r="AA23" s="55">
        <v>0</v>
      </c>
      <c r="AB23" s="55"/>
      <c r="AC23" s="55"/>
      <c r="AD23" s="55"/>
      <c r="AE23" s="55"/>
      <c r="AF23" s="55"/>
      <c r="AG23" s="56"/>
    </row>
    <row r="24" spans="1:33" ht="15.75" thickBot="1" x14ac:dyDescent="0.3">
      <c r="A24" s="57" t="s">
        <v>21</v>
      </c>
      <c r="B24" s="58"/>
      <c r="C24" s="58"/>
      <c r="D24" s="58"/>
      <c r="E24" s="59"/>
      <c r="F24" s="60">
        <f>SUM(F21:P23)</f>
        <v>1665.625</v>
      </c>
      <c r="G24" s="61"/>
      <c r="H24" s="61"/>
      <c r="I24" s="61"/>
      <c r="J24" s="61"/>
      <c r="K24" s="61"/>
      <c r="L24" s="61"/>
      <c r="M24" s="61"/>
      <c r="N24" s="61"/>
      <c r="O24" s="61"/>
      <c r="P24" s="62"/>
      <c r="Q24" s="57" t="s">
        <v>21</v>
      </c>
      <c r="R24" s="58"/>
      <c r="S24" s="58"/>
      <c r="T24" s="58"/>
      <c r="U24" s="58"/>
      <c r="V24" s="58"/>
      <c r="W24" s="58"/>
      <c r="X24" s="58"/>
      <c r="Y24" s="58"/>
      <c r="Z24" s="59"/>
      <c r="AA24" s="63">
        <f>SUM(AA21:AG23)</f>
        <v>0</v>
      </c>
      <c r="AB24" s="63"/>
      <c r="AC24" s="63"/>
      <c r="AD24" s="63"/>
      <c r="AE24" s="63"/>
      <c r="AF24" s="63"/>
      <c r="AG24" s="64"/>
    </row>
    <row r="25" spans="1:33" ht="15.75" thickBo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21.75" thickBot="1" x14ac:dyDescent="0.3">
      <c r="A26" s="9"/>
      <c r="B26" s="9"/>
      <c r="C26" s="9"/>
      <c r="D26" s="9"/>
      <c r="E26" s="44" t="s">
        <v>22</v>
      </c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6"/>
      <c r="S26" s="47">
        <f>F24-AA24</f>
        <v>1665.625</v>
      </c>
      <c r="T26" s="45"/>
      <c r="U26" s="45"/>
      <c r="V26" s="45"/>
      <c r="W26" s="45"/>
      <c r="X26" s="45"/>
      <c r="Y26" s="45"/>
      <c r="Z26" s="46"/>
      <c r="AA26" s="10"/>
      <c r="AB26" s="10"/>
      <c r="AC26" s="10"/>
      <c r="AD26" s="10"/>
      <c r="AE26" s="10"/>
      <c r="AF26" s="10"/>
      <c r="AG26" s="10"/>
    </row>
    <row r="36" spans="2:28" ht="18.75" x14ac:dyDescent="0.3">
      <c r="B36" s="48" t="s">
        <v>23</v>
      </c>
      <c r="C36" s="48"/>
      <c r="D36" s="48"/>
      <c r="E36" s="48"/>
      <c r="F36" s="48"/>
      <c r="G36" s="48"/>
      <c r="H36" s="48"/>
      <c r="V36" s="48" t="s">
        <v>24</v>
      </c>
      <c r="W36" s="48"/>
      <c r="X36" s="48"/>
      <c r="Y36" s="48"/>
      <c r="Z36" s="48"/>
      <c r="AA36" s="48"/>
      <c r="AB36" s="48"/>
    </row>
  </sheetData>
  <mergeCells count="39">
    <mergeCell ref="A7:AG7"/>
    <mergeCell ref="B9:I9"/>
    <mergeCell ref="K9:O9"/>
    <mergeCell ref="P9:V9"/>
    <mergeCell ref="X9:AB9"/>
    <mergeCell ref="AC9:AG9"/>
    <mergeCell ref="A20:P20"/>
    <mergeCell ref="Q20:AG20"/>
    <mergeCell ref="B10:I10"/>
    <mergeCell ref="K10:O10"/>
    <mergeCell ref="P10:V10"/>
    <mergeCell ref="X10:AB10"/>
    <mergeCell ref="AC10:AG10"/>
    <mergeCell ref="AG12:AG13"/>
    <mergeCell ref="B17:F17"/>
    <mergeCell ref="G17:I17"/>
    <mergeCell ref="U17:Z17"/>
    <mergeCell ref="AA17:AD17"/>
    <mergeCell ref="A19:AG19"/>
    <mergeCell ref="A21:E21"/>
    <mergeCell ref="F21:P21"/>
    <mergeCell ref="Q21:Z21"/>
    <mergeCell ref="AA21:AG21"/>
    <mergeCell ref="A22:E22"/>
    <mergeCell ref="F22:P22"/>
    <mergeCell ref="Q22:Z22"/>
    <mergeCell ref="AA22:AG22"/>
    <mergeCell ref="E26:R26"/>
    <mergeCell ref="S26:Z26"/>
    <mergeCell ref="B36:H36"/>
    <mergeCell ref="V36:AB36"/>
    <mergeCell ref="A23:E23"/>
    <mergeCell ref="F23:P23"/>
    <mergeCell ref="Q23:Z23"/>
    <mergeCell ref="AA23:AG23"/>
    <mergeCell ref="A24:E24"/>
    <mergeCell ref="F24:P24"/>
    <mergeCell ref="Q24:Z24"/>
    <mergeCell ref="AA24:AG24"/>
  </mergeCells>
  <phoneticPr fontId="9" type="noConversion"/>
  <conditionalFormatting sqref="B14:AF14">
    <cfRule type="containsText" dxfId="35" priority="1" operator="containsText" text="H">
      <formula>NOT(ISERROR(SEARCH("H",B14)))</formula>
    </cfRule>
  </conditionalFormatting>
  <conditionalFormatting sqref="B14:AF15">
    <cfRule type="containsText" dxfId="34" priority="2" operator="containsText" text="M">
      <formula>NOT(ISERROR(SEARCH("M",B14)))</formula>
    </cfRule>
    <cfRule type="expression" dxfId="33" priority="3">
      <formula>B$13="Fri"</formula>
    </cfRule>
    <cfRule type="containsText" dxfId="32" priority="4" operator="containsText" text="A">
      <formula>NOT(ISERROR(SEARCH("A",B14)))</formula>
    </cfRule>
  </conditionalFormatting>
  <conditionalFormatting sqref="F24:P24">
    <cfRule type="expression" dxfId="31" priority="5">
      <formula>B$13="Fri"</formula>
    </cfRule>
  </conditionalFormatting>
  <dataValidations count="1">
    <dataValidation errorStyle="information" allowBlank="1" showInputMessage="1" showErrorMessage="1" sqref="K13" xr:uid="{832A17D3-2A46-4502-9FF6-2FF92EBF7DA5}"/>
  </dataValidations>
  <pageMargins left="0.7" right="0.7" top="0.75" bottom="0.75" header="0.3" footer="0.3"/>
  <pageSetup paperSize="9" scale="79" orientation="landscape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information" allowBlank="1" showInputMessage="1" xr:uid="{E98CFAB1-69A7-4BCB-B331-3F0094084A89}">
          <x14:formula1>
            <xm:f>DATA!$A$3:$A$13</xm:f>
          </x14:formula1>
          <xm:sqref>A7:AG7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FD8B8-DBF2-4760-A304-02ED4B3C82F7}">
  <sheetPr>
    <pageSetUpPr fitToPage="1"/>
  </sheetPr>
  <dimension ref="A1:AG36"/>
  <sheetViews>
    <sheetView topLeftCell="A3" workbookViewId="0">
      <selection activeCell="B12" sqref="B12:AF13"/>
    </sheetView>
  </sheetViews>
  <sheetFormatPr defaultRowHeight="15" x14ac:dyDescent="0.25"/>
  <cols>
    <col min="1" max="1" width="16.5703125" bestFit="1" customWidth="1"/>
    <col min="2" max="2" width="5.140625" bestFit="1" customWidth="1"/>
    <col min="3" max="3" width="4.140625" bestFit="1" customWidth="1"/>
    <col min="4" max="4" width="4.85546875" bestFit="1" customWidth="1"/>
    <col min="5" max="5" width="4.42578125" bestFit="1" customWidth="1"/>
    <col min="6" max="6" width="3.7109375" bestFit="1" customWidth="1"/>
    <col min="7" max="7" width="4.140625" bestFit="1" customWidth="1"/>
    <col min="8" max="8" width="4.7109375" bestFit="1" customWidth="1"/>
    <col min="9" max="9" width="5.140625" bestFit="1" customWidth="1"/>
    <col min="10" max="10" width="4.140625" bestFit="1" customWidth="1"/>
    <col min="11" max="11" width="4.85546875" bestFit="1" customWidth="1"/>
    <col min="12" max="12" width="4.42578125" bestFit="1" customWidth="1"/>
    <col min="13" max="13" width="3.7109375" bestFit="1" customWidth="1"/>
    <col min="14" max="14" width="4.140625" bestFit="1" customWidth="1"/>
    <col min="15" max="15" width="4.7109375" bestFit="1" customWidth="1"/>
    <col min="16" max="16" width="5.140625" bestFit="1" customWidth="1"/>
    <col min="17" max="17" width="4.140625" bestFit="1" customWidth="1"/>
    <col min="18" max="18" width="4.85546875" bestFit="1" customWidth="1"/>
    <col min="19" max="19" width="4.42578125" bestFit="1" customWidth="1"/>
    <col min="20" max="20" width="3.7109375" bestFit="1" customWidth="1"/>
    <col min="21" max="21" width="4.140625" bestFit="1" customWidth="1"/>
    <col min="22" max="22" width="4.7109375" bestFit="1" customWidth="1"/>
    <col min="23" max="23" width="5.140625" bestFit="1" customWidth="1"/>
    <col min="24" max="24" width="4.140625" bestFit="1" customWidth="1"/>
    <col min="25" max="25" width="4.85546875" bestFit="1" customWidth="1"/>
    <col min="26" max="26" width="4.42578125" bestFit="1" customWidth="1"/>
    <col min="27" max="27" width="3.7109375" bestFit="1" customWidth="1"/>
    <col min="28" max="28" width="4.140625" bestFit="1" customWidth="1"/>
    <col min="29" max="29" width="4.7109375" bestFit="1" customWidth="1"/>
    <col min="30" max="30" width="5.140625" bestFit="1" customWidth="1"/>
    <col min="31" max="31" width="4.140625" bestFit="1" customWidth="1"/>
    <col min="32" max="32" width="4.85546875" bestFit="1" customWidth="1"/>
    <col min="33" max="33" width="7.7109375" bestFit="1" customWidth="1"/>
  </cols>
  <sheetData>
    <row r="1" spans="1:33" ht="14.45" customHeight="1" x14ac:dyDescent="0.65"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</row>
    <row r="2" spans="1:33" ht="14.45" customHeight="1" x14ac:dyDescent="0.65"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</row>
    <row r="3" spans="1:33" ht="14.45" customHeight="1" x14ac:dyDescent="0.65"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</row>
    <row r="4" spans="1:33" ht="14.45" customHeight="1" x14ac:dyDescent="0.65"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</row>
    <row r="5" spans="1:33" ht="21" customHeight="1" x14ac:dyDescent="0.45"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</row>
    <row r="6" spans="1:33" ht="14.45" customHeight="1" x14ac:dyDescent="0.45">
      <c r="F6" s="1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</row>
    <row r="7" spans="1:33" ht="22.5" x14ac:dyDescent="0.25">
      <c r="A7" s="96" t="s">
        <v>54</v>
      </c>
      <c r="B7" s="97"/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97"/>
      <c r="AC7" s="97"/>
      <c r="AD7" s="97"/>
      <c r="AE7" s="97"/>
      <c r="AF7" s="97"/>
      <c r="AG7" s="97"/>
    </row>
    <row r="8" spans="1:33" ht="15.75" thickBot="1" x14ac:dyDescent="0.3"/>
    <row r="9" spans="1:33" ht="15.75" thickBot="1" x14ac:dyDescent="0.3">
      <c r="A9" s="2" t="s">
        <v>0</v>
      </c>
      <c r="B9" s="79" t="s">
        <v>46</v>
      </c>
      <c r="C9" s="80"/>
      <c r="D9" s="80"/>
      <c r="E9" s="80"/>
      <c r="F9" s="80"/>
      <c r="G9" s="80"/>
      <c r="H9" s="80"/>
      <c r="I9" s="81"/>
      <c r="J9" s="3"/>
      <c r="K9" s="98" t="s">
        <v>1</v>
      </c>
      <c r="L9" s="99"/>
      <c r="M9" s="99"/>
      <c r="N9" s="99"/>
      <c r="O9" s="100"/>
      <c r="P9" s="85">
        <v>110</v>
      </c>
      <c r="Q9" s="86"/>
      <c r="R9" s="86"/>
      <c r="S9" s="86"/>
      <c r="T9" s="86"/>
      <c r="U9" s="86"/>
      <c r="V9" s="87"/>
      <c r="W9" s="3"/>
      <c r="X9" s="98" t="s">
        <v>2</v>
      </c>
      <c r="Y9" s="99"/>
      <c r="Z9" s="99"/>
      <c r="AA9" s="99"/>
      <c r="AB9" s="100"/>
      <c r="AC9" s="101"/>
      <c r="AD9" s="102"/>
      <c r="AE9" s="102"/>
      <c r="AF9" s="102"/>
      <c r="AG9" s="103"/>
    </row>
    <row r="10" spans="1:33" ht="15.75" thickBot="1" x14ac:dyDescent="0.3">
      <c r="A10" s="4" t="s">
        <v>3</v>
      </c>
      <c r="B10" s="79">
        <v>2581080823</v>
      </c>
      <c r="C10" s="80"/>
      <c r="D10" s="80"/>
      <c r="E10" s="80"/>
      <c r="F10" s="80"/>
      <c r="G10" s="80"/>
      <c r="H10" s="80"/>
      <c r="I10" s="81"/>
      <c r="J10" s="3"/>
      <c r="K10" s="82" t="s">
        <v>4</v>
      </c>
      <c r="L10" s="83"/>
      <c r="M10" s="83"/>
      <c r="N10" s="83"/>
      <c r="O10" s="84"/>
      <c r="P10" s="85" t="s">
        <v>42</v>
      </c>
      <c r="Q10" s="86"/>
      <c r="R10" s="86"/>
      <c r="S10" s="86"/>
      <c r="T10" s="86"/>
      <c r="U10" s="86"/>
      <c r="V10" s="87"/>
      <c r="W10" s="3"/>
      <c r="X10" s="82" t="s">
        <v>5</v>
      </c>
      <c r="Y10" s="83"/>
      <c r="Z10" s="83"/>
      <c r="AA10" s="83"/>
      <c r="AB10" s="84"/>
      <c r="AC10" s="85"/>
      <c r="AD10" s="86"/>
      <c r="AE10" s="86"/>
      <c r="AF10" s="86"/>
      <c r="AG10" s="87"/>
    </row>
    <row r="11" spans="1:33" ht="15.75" thickBot="1" x14ac:dyDescent="0.3"/>
    <row r="12" spans="1:33" ht="16.5" thickBot="1" x14ac:dyDescent="0.3">
      <c r="A12" s="5" t="s">
        <v>6</v>
      </c>
      <c r="B12" s="12">
        <f>DATA!$I$4</f>
        <v>46023</v>
      </c>
      <c r="C12" s="12">
        <f>IF(B12&lt;DATA!$C$4,B12+1,"")</f>
        <v>46024</v>
      </c>
      <c r="D12" s="12">
        <f>IF(C12&lt;DATA!$C$4,C12+1,"")</f>
        <v>46025</v>
      </c>
      <c r="E12" s="12">
        <f>IF(D12&lt;DATA!$C$4,D12+1,"")</f>
        <v>46026</v>
      </c>
      <c r="F12" s="12">
        <f>IF(E12&lt;DATA!$C$4,E12+1,"")</f>
        <v>46027</v>
      </c>
      <c r="G12" s="12">
        <f>IF(F12&lt;DATA!$C$4,F12+1,"")</f>
        <v>46028</v>
      </c>
      <c r="H12" s="12">
        <f>IF(G12&lt;DATA!$C$4,G12+1,"")</f>
        <v>46029</v>
      </c>
      <c r="I12" s="12">
        <f>IF(H12&lt;DATA!$C$4,H12+1,"")</f>
        <v>46030</v>
      </c>
      <c r="J12" s="12">
        <f>IF(I12&lt;DATA!$C$4,I12+1,"")</f>
        <v>46031</v>
      </c>
      <c r="K12" s="12">
        <f>IF(J12&lt;DATA!$C$4,J12+1,"")</f>
        <v>46032</v>
      </c>
      <c r="L12" s="12">
        <f>IF(K12&lt;DATA!$C$4,K12+1,"")</f>
        <v>46033</v>
      </c>
      <c r="M12" s="12">
        <f>IF(L12&lt;DATA!$C$4,L12+1,"")</f>
        <v>46034</v>
      </c>
      <c r="N12" s="12">
        <f>IF(M12&lt;DATA!$C$4,M12+1,"")</f>
        <v>46035</v>
      </c>
      <c r="O12" s="12">
        <f>IF(N12&lt;DATA!$C$4,N12+1,"")</f>
        <v>46036</v>
      </c>
      <c r="P12" s="12">
        <f>IF(O12&lt;DATA!$C$4,O12+1,"")</f>
        <v>46037</v>
      </c>
      <c r="Q12" s="12">
        <f>IF(P12&lt;DATA!$C$4,P12+1,"")</f>
        <v>46038</v>
      </c>
      <c r="R12" s="12">
        <f>IF(Q12&lt;DATA!$C$4,Q12+1,"")</f>
        <v>46039</v>
      </c>
      <c r="S12" s="12">
        <f>IF(R12&lt;DATA!$C$4,R12+1,"")</f>
        <v>46040</v>
      </c>
      <c r="T12" s="12">
        <f>IF(S12&lt;DATA!$C$4,S12+1,"")</f>
        <v>46041</v>
      </c>
      <c r="U12" s="12">
        <f>IF(T12&lt;DATA!$C$4,T12+1,"")</f>
        <v>46042</v>
      </c>
      <c r="V12" s="12">
        <f>IF(U12&lt;DATA!$C$4,U12+1,"")</f>
        <v>46043</v>
      </c>
      <c r="W12" s="12">
        <f>IF(V12&lt;DATA!$C$4,V12+1,"")</f>
        <v>46044</v>
      </c>
      <c r="X12" s="12">
        <f>IF(W12&lt;DATA!$C$4,W12+1,"")</f>
        <v>46045</v>
      </c>
      <c r="Y12" s="12">
        <f>IF(X12&lt;DATA!$C$4,X12+1,"")</f>
        <v>46046</v>
      </c>
      <c r="Z12" s="12">
        <f>IF(Y12&lt;DATA!$C$4,Y12+1,"")</f>
        <v>46047</v>
      </c>
      <c r="AA12" s="12">
        <f>IF(Z12&lt;DATA!$C$4,Z12+1,"")</f>
        <v>46048</v>
      </c>
      <c r="AB12" s="12">
        <f>IF(AA12&lt;DATA!$C$4,AA12+1,"")</f>
        <v>46049</v>
      </c>
      <c r="AC12" s="12">
        <f>IF(AB12&lt;DATA!$C$4,AB12+1,"")</f>
        <v>46050</v>
      </c>
      <c r="AD12" s="12">
        <f>IF(AC12&lt;DATA!$C$4,AC12+1,"")</f>
        <v>46051</v>
      </c>
      <c r="AE12" s="12">
        <f>IF(AD12&lt;DATA!$C$4,AD12+1,"")</f>
        <v>46052</v>
      </c>
      <c r="AF12" s="12">
        <f>IF(AE12&lt;DATA!$C$4,AE12+1,"")</f>
        <v>46053</v>
      </c>
      <c r="AG12" s="88" t="s">
        <v>7</v>
      </c>
    </row>
    <row r="13" spans="1:33" ht="16.5" thickBot="1" x14ac:dyDescent="0.3">
      <c r="A13" s="5" t="s">
        <v>8</v>
      </c>
      <c r="B13" s="11" t="str">
        <f t="shared" ref="B13:AF13" si="0">TEXT(B12,"ddd")</f>
        <v>Thu</v>
      </c>
      <c r="C13" s="11" t="str">
        <f t="shared" si="0"/>
        <v>Fri</v>
      </c>
      <c r="D13" s="11" t="str">
        <f t="shared" si="0"/>
        <v>Sat</v>
      </c>
      <c r="E13" s="11" t="str">
        <f t="shared" si="0"/>
        <v>Sun</v>
      </c>
      <c r="F13" s="11" t="str">
        <f t="shared" si="0"/>
        <v>Mon</v>
      </c>
      <c r="G13" s="11" t="str">
        <f t="shared" si="0"/>
        <v>Tue</v>
      </c>
      <c r="H13" s="11" t="str">
        <f t="shared" si="0"/>
        <v>Wed</v>
      </c>
      <c r="I13" s="11" t="str">
        <f t="shared" si="0"/>
        <v>Thu</v>
      </c>
      <c r="J13" s="11" t="str">
        <f t="shared" si="0"/>
        <v>Fri</v>
      </c>
      <c r="K13" s="11" t="str">
        <f t="shared" si="0"/>
        <v>Sat</v>
      </c>
      <c r="L13" s="11" t="str">
        <f t="shared" si="0"/>
        <v>Sun</v>
      </c>
      <c r="M13" s="11" t="str">
        <f t="shared" si="0"/>
        <v>Mon</v>
      </c>
      <c r="N13" s="11" t="str">
        <f t="shared" si="0"/>
        <v>Tue</v>
      </c>
      <c r="O13" s="11" t="str">
        <f t="shared" si="0"/>
        <v>Wed</v>
      </c>
      <c r="P13" s="11" t="str">
        <f t="shared" si="0"/>
        <v>Thu</v>
      </c>
      <c r="Q13" s="11" t="str">
        <f t="shared" si="0"/>
        <v>Fri</v>
      </c>
      <c r="R13" s="11" t="str">
        <f t="shared" si="0"/>
        <v>Sat</v>
      </c>
      <c r="S13" s="11" t="str">
        <f t="shared" si="0"/>
        <v>Sun</v>
      </c>
      <c r="T13" s="11" t="str">
        <f t="shared" si="0"/>
        <v>Mon</v>
      </c>
      <c r="U13" s="11" t="str">
        <f t="shared" si="0"/>
        <v>Tue</v>
      </c>
      <c r="V13" s="11" t="str">
        <f t="shared" si="0"/>
        <v>Wed</v>
      </c>
      <c r="W13" s="11" t="str">
        <f t="shared" si="0"/>
        <v>Thu</v>
      </c>
      <c r="X13" s="11" t="str">
        <f t="shared" si="0"/>
        <v>Fri</v>
      </c>
      <c r="Y13" s="11" t="str">
        <f t="shared" si="0"/>
        <v>Sat</v>
      </c>
      <c r="Z13" s="11" t="str">
        <f t="shared" si="0"/>
        <v>Sun</v>
      </c>
      <c r="AA13" s="11" t="str">
        <f t="shared" si="0"/>
        <v>Mon</v>
      </c>
      <c r="AB13" s="11" t="str">
        <f t="shared" si="0"/>
        <v>Tue</v>
      </c>
      <c r="AC13" s="11" t="str">
        <f t="shared" si="0"/>
        <v>Wed</v>
      </c>
      <c r="AD13" s="11" t="str">
        <f t="shared" si="0"/>
        <v>Thu</v>
      </c>
      <c r="AE13" s="11" t="str">
        <f t="shared" si="0"/>
        <v>Fri</v>
      </c>
      <c r="AF13" s="11" t="str">
        <f t="shared" si="0"/>
        <v>Sat</v>
      </c>
      <c r="AG13" s="89"/>
    </row>
    <row r="14" spans="1:33" ht="16.5" thickBot="1" x14ac:dyDescent="0.3">
      <c r="A14" s="6" t="s">
        <v>9</v>
      </c>
      <c r="B14" s="13">
        <v>8</v>
      </c>
      <c r="C14" s="13"/>
      <c r="D14" s="13">
        <v>8</v>
      </c>
      <c r="E14" s="13">
        <v>8</v>
      </c>
      <c r="F14" s="13">
        <v>8</v>
      </c>
      <c r="G14" s="13">
        <v>8</v>
      </c>
      <c r="H14" s="13">
        <v>8</v>
      </c>
      <c r="I14" s="13">
        <v>8</v>
      </c>
      <c r="J14" s="13"/>
      <c r="K14" s="13">
        <v>8</v>
      </c>
      <c r="L14" s="13">
        <v>8</v>
      </c>
      <c r="M14" s="13">
        <v>8</v>
      </c>
      <c r="N14" s="13">
        <v>8</v>
      </c>
      <c r="O14" s="13">
        <v>8</v>
      </c>
      <c r="P14" s="13">
        <v>8</v>
      </c>
      <c r="Q14" s="13"/>
      <c r="R14" s="13">
        <v>8</v>
      </c>
      <c r="S14" s="13">
        <v>8</v>
      </c>
      <c r="T14" s="13">
        <v>8</v>
      </c>
      <c r="U14" s="13">
        <v>8</v>
      </c>
      <c r="V14" s="13">
        <v>8</v>
      </c>
      <c r="W14" s="13">
        <v>8</v>
      </c>
      <c r="X14" s="13"/>
      <c r="Y14" s="13">
        <v>8</v>
      </c>
      <c r="Z14" s="13">
        <v>8</v>
      </c>
      <c r="AA14" s="13">
        <v>8</v>
      </c>
      <c r="AB14" s="13">
        <v>8</v>
      </c>
      <c r="AC14" s="13">
        <v>8</v>
      </c>
      <c r="AD14" s="13">
        <v>8</v>
      </c>
      <c r="AE14" s="13"/>
      <c r="AF14" s="13"/>
      <c r="AG14" s="5">
        <f>SUM(B14:AF14)</f>
        <v>200</v>
      </c>
    </row>
    <row r="15" spans="1:33" ht="16.5" thickBot="1" x14ac:dyDescent="0.3">
      <c r="A15" s="7" t="s">
        <v>10</v>
      </c>
      <c r="B15" s="13">
        <v>2</v>
      </c>
      <c r="C15" s="13"/>
      <c r="D15" s="13">
        <v>2</v>
      </c>
      <c r="E15" s="13">
        <v>3</v>
      </c>
      <c r="F15" s="13">
        <v>3</v>
      </c>
      <c r="G15" s="13">
        <v>3</v>
      </c>
      <c r="H15" s="27">
        <v>4</v>
      </c>
      <c r="I15" s="13">
        <v>4</v>
      </c>
      <c r="J15" s="13"/>
      <c r="K15" s="13">
        <v>2</v>
      </c>
      <c r="L15" s="13">
        <v>4</v>
      </c>
      <c r="M15" s="13">
        <v>3</v>
      </c>
      <c r="N15" s="13">
        <v>4</v>
      </c>
      <c r="O15" s="27">
        <v>4</v>
      </c>
      <c r="P15" s="13">
        <v>3</v>
      </c>
      <c r="Q15" s="13"/>
      <c r="R15" s="13">
        <v>2</v>
      </c>
      <c r="S15" s="13">
        <v>2</v>
      </c>
      <c r="T15" s="13">
        <v>2</v>
      </c>
      <c r="U15" s="13"/>
      <c r="V15" s="13"/>
      <c r="W15" s="13">
        <v>2</v>
      </c>
      <c r="X15" s="13"/>
      <c r="Y15" s="13">
        <v>2</v>
      </c>
      <c r="Z15" s="13">
        <v>2</v>
      </c>
      <c r="AA15" s="13">
        <v>3</v>
      </c>
      <c r="AB15" s="13">
        <v>2</v>
      </c>
      <c r="AC15" s="13">
        <v>3</v>
      </c>
      <c r="AD15" s="13">
        <v>2</v>
      </c>
      <c r="AE15" s="13"/>
      <c r="AF15" s="13"/>
      <c r="AG15" s="8">
        <f>SUM(B15:AF15)</f>
        <v>63</v>
      </c>
    </row>
    <row r="16" spans="1:33" ht="15.75" thickBot="1" x14ac:dyDescent="0.3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6.5" thickBot="1" x14ac:dyDescent="0.3">
      <c r="A17" s="1"/>
      <c r="B17" s="90" t="s">
        <v>11</v>
      </c>
      <c r="C17" s="91"/>
      <c r="D17" s="91"/>
      <c r="E17" s="91"/>
      <c r="F17" s="92"/>
      <c r="G17" s="90">
        <f>COUNTIF(B14:AF14,"A")</f>
        <v>0</v>
      </c>
      <c r="H17" s="91"/>
      <c r="I17" s="92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90" t="s">
        <v>12</v>
      </c>
      <c r="V17" s="91"/>
      <c r="W17" s="91"/>
      <c r="X17" s="91"/>
      <c r="Y17" s="91"/>
      <c r="Z17" s="92"/>
      <c r="AA17" s="90">
        <f>AG14+AG15</f>
        <v>263</v>
      </c>
      <c r="AB17" s="91"/>
      <c r="AC17" s="91"/>
      <c r="AD17" s="92"/>
      <c r="AE17" s="1"/>
      <c r="AF17" s="1"/>
      <c r="AG17" s="1"/>
    </row>
    <row r="18" spans="1:33" ht="15.75" thickBo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9.5" thickBot="1" x14ac:dyDescent="0.35">
      <c r="A19" s="93" t="s">
        <v>13</v>
      </c>
      <c r="B19" s="94"/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4"/>
      <c r="AB19" s="94"/>
      <c r="AC19" s="94"/>
      <c r="AD19" s="94"/>
      <c r="AE19" s="94"/>
      <c r="AF19" s="94"/>
      <c r="AG19" s="95"/>
    </row>
    <row r="20" spans="1:33" ht="19.5" thickBot="1" x14ac:dyDescent="0.35">
      <c r="A20" s="76" t="s">
        <v>14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8"/>
      <c r="Q20" s="76" t="s">
        <v>15</v>
      </c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77"/>
      <c r="AD20" s="77"/>
      <c r="AE20" s="77"/>
      <c r="AF20" s="77"/>
      <c r="AG20" s="78"/>
    </row>
    <row r="21" spans="1:33" x14ac:dyDescent="0.25">
      <c r="A21" s="65" t="s">
        <v>16</v>
      </c>
      <c r="B21" s="66"/>
      <c r="C21" s="66"/>
      <c r="D21" s="66"/>
      <c r="E21" s="67"/>
      <c r="F21" s="68">
        <v>1300</v>
      </c>
      <c r="G21" s="69"/>
      <c r="H21" s="69"/>
      <c r="I21" s="69"/>
      <c r="J21" s="69"/>
      <c r="K21" s="69"/>
      <c r="L21" s="69"/>
      <c r="M21" s="69"/>
      <c r="N21" s="69"/>
      <c r="O21" s="69"/>
      <c r="P21" s="70"/>
      <c r="Q21" s="65" t="s">
        <v>17</v>
      </c>
      <c r="R21" s="66"/>
      <c r="S21" s="66"/>
      <c r="T21" s="66"/>
      <c r="U21" s="66"/>
      <c r="V21" s="66"/>
      <c r="W21" s="66"/>
      <c r="X21" s="66"/>
      <c r="Y21" s="66"/>
      <c r="Z21" s="67"/>
      <c r="AA21" s="71">
        <f>F21/30*G17*2</f>
        <v>0</v>
      </c>
      <c r="AB21" s="71"/>
      <c r="AC21" s="71"/>
      <c r="AD21" s="71"/>
      <c r="AE21" s="71"/>
      <c r="AF21" s="71"/>
      <c r="AG21" s="72"/>
    </row>
    <row r="22" spans="1:33" x14ac:dyDescent="0.25">
      <c r="A22" s="49" t="s">
        <v>18</v>
      </c>
      <c r="B22" s="50"/>
      <c r="C22" s="50"/>
      <c r="D22" s="50"/>
      <c r="E22" s="51"/>
      <c r="F22" s="52">
        <v>0</v>
      </c>
      <c r="G22" s="53"/>
      <c r="H22" s="53"/>
      <c r="I22" s="53"/>
      <c r="J22" s="53"/>
      <c r="K22" s="53"/>
      <c r="L22" s="53"/>
      <c r="M22" s="53"/>
      <c r="N22" s="53"/>
      <c r="O22" s="53"/>
      <c r="P22" s="54"/>
      <c r="Q22" s="73" t="s">
        <v>19</v>
      </c>
      <c r="R22" s="74"/>
      <c r="S22" s="74"/>
      <c r="T22" s="74"/>
      <c r="U22" s="74"/>
      <c r="V22" s="74"/>
      <c r="W22" s="74"/>
      <c r="X22" s="74"/>
      <c r="Y22" s="74"/>
      <c r="Z22" s="75"/>
      <c r="AA22" s="55">
        <v>0</v>
      </c>
      <c r="AB22" s="55"/>
      <c r="AC22" s="55"/>
      <c r="AD22" s="55"/>
      <c r="AE22" s="55"/>
      <c r="AF22" s="55"/>
      <c r="AG22" s="56"/>
    </row>
    <row r="23" spans="1:33" x14ac:dyDescent="0.25">
      <c r="A23" s="49" t="s">
        <v>10</v>
      </c>
      <c r="B23" s="50"/>
      <c r="C23" s="50"/>
      <c r="D23" s="50"/>
      <c r="E23" s="51"/>
      <c r="F23" s="52">
        <f>F21/30/8*1.5*AG15</f>
        <v>511.875</v>
      </c>
      <c r="G23" s="53"/>
      <c r="H23" s="53"/>
      <c r="I23" s="53"/>
      <c r="J23" s="53"/>
      <c r="K23" s="53"/>
      <c r="L23" s="53"/>
      <c r="M23" s="53"/>
      <c r="N23" s="53"/>
      <c r="O23" s="53"/>
      <c r="P23" s="54"/>
      <c r="Q23" s="49" t="s">
        <v>20</v>
      </c>
      <c r="R23" s="50"/>
      <c r="S23" s="50"/>
      <c r="T23" s="50"/>
      <c r="U23" s="50"/>
      <c r="V23" s="50"/>
      <c r="W23" s="50"/>
      <c r="X23" s="50"/>
      <c r="Y23" s="50"/>
      <c r="Z23" s="51"/>
      <c r="AA23" s="55">
        <v>0</v>
      </c>
      <c r="AB23" s="55"/>
      <c r="AC23" s="55"/>
      <c r="AD23" s="55"/>
      <c r="AE23" s="55"/>
      <c r="AF23" s="55"/>
      <c r="AG23" s="56"/>
    </row>
    <row r="24" spans="1:33" ht="15.75" thickBot="1" x14ac:dyDescent="0.3">
      <c r="A24" s="57" t="s">
        <v>21</v>
      </c>
      <c r="B24" s="58"/>
      <c r="C24" s="58"/>
      <c r="D24" s="58"/>
      <c r="E24" s="59"/>
      <c r="F24" s="60">
        <f>SUM(F21:P23)</f>
        <v>1811.875</v>
      </c>
      <c r="G24" s="61"/>
      <c r="H24" s="61"/>
      <c r="I24" s="61"/>
      <c r="J24" s="61"/>
      <c r="K24" s="61"/>
      <c r="L24" s="61"/>
      <c r="M24" s="61"/>
      <c r="N24" s="61"/>
      <c r="O24" s="61"/>
      <c r="P24" s="62"/>
      <c r="Q24" s="57" t="s">
        <v>21</v>
      </c>
      <c r="R24" s="58"/>
      <c r="S24" s="58"/>
      <c r="T24" s="58"/>
      <c r="U24" s="58"/>
      <c r="V24" s="58"/>
      <c r="W24" s="58"/>
      <c r="X24" s="58"/>
      <c r="Y24" s="58"/>
      <c r="Z24" s="59"/>
      <c r="AA24" s="63">
        <f>SUM(AA21:AG23)</f>
        <v>0</v>
      </c>
      <c r="AB24" s="63"/>
      <c r="AC24" s="63"/>
      <c r="AD24" s="63"/>
      <c r="AE24" s="63"/>
      <c r="AF24" s="63"/>
      <c r="AG24" s="64"/>
    </row>
    <row r="25" spans="1:33" ht="15.75" thickBo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21.75" thickBot="1" x14ac:dyDescent="0.3">
      <c r="A26" s="9"/>
      <c r="B26" s="9"/>
      <c r="C26" s="9"/>
      <c r="D26" s="9"/>
      <c r="E26" s="44" t="s">
        <v>22</v>
      </c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6"/>
      <c r="S26" s="47">
        <f>F24-AA24</f>
        <v>1811.875</v>
      </c>
      <c r="T26" s="45"/>
      <c r="U26" s="45"/>
      <c r="V26" s="45"/>
      <c r="W26" s="45"/>
      <c r="X26" s="45"/>
      <c r="Y26" s="45"/>
      <c r="Z26" s="46"/>
      <c r="AA26" s="10"/>
      <c r="AB26" s="10"/>
      <c r="AC26" s="10"/>
      <c r="AD26" s="10"/>
      <c r="AE26" s="10"/>
      <c r="AF26" s="10"/>
      <c r="AG26" s="10"/>
    </row>
    <row r="36" spans="2:28" ht="18.75" x14ac:dyDescent="0.3">
      <c r="B36" s="48" t="s">
        <v>23</v>
      </c>
      <c r="C36" s="48"/>
      <c r="D36" s="48"/>
      <c r="E36" s="48"/>
      <c r="F36" s="48"/>
      <c r="G36" s="48"/>
      <c r="H36" s="48"/>
      <c r="V36" s="48" t="s">
        <v>24</v>
      </c>
      <c r="W36" s="48"/>
      <c r="X36" s="48"/>
      <c r="Y36" s="48"/>
      <c r="Z36" s="48"/>
      <c r="AA36" s="48"/>
      <c r="AB36" s="48"/>
    </row>
  </sheetData>
  <mergeCells count="39">
    <mergeCell ref="A7:AG7"/>
    <mergeCell ref="B9:I9"/>
    <mergeCell ref="K9:O9"/>
    <mergeCell ref="P9:V9"/>
    <mergeCell ref="X9:AB9"/>
    <mergeCell ref="AC9:AG9"/>
    <mergeCell ref="A20:P20"/>
    <mergeCell ref="Q20:AG20"/>
    <mergeCell ref="B10:I10"/>
    <mergeCell ref="K10:O10"/>
    <mergeCell ref="P10:V10"/>
    <mergeCell ref="X10:AB10"/>
    <mergeCell ref="AC10:AG10"/>
    <mergeCell ref="AG12:AG13"/>
    <mergeCell ref="B17:F17"/>
    <mergeCell ref="G17:I17"/>
    <mergeCell ref="U17:Z17"/>
    <mergeCell ref="AA17:AD17"/>
    <mergeCell ref="A19:AG19"/>
    <mergeCell ref="A21:E21"/>
    <mergeCell ref="F21:P21"/>
    <mergeCell ref="Q21:Z21"/>
    <mergeCell ref="AA21:AG21"/>
    <mergeCell ref="A22:E22"/>
    <mergeCell ref="F22:P22"/>
    <mergeCell ref="Q22:Z22"/>
    <mergeCell ref="AA22:AG22"/>
    <mergeCell ref="E26:R26"/>
    <mergeCell ref="S26:Z26"/>
    <mergeCell ref="B36:H36"/>
    <mergeCell ref="V36:AB36"/>
    <mergeCell ref="A23:E23"/>
    <mergeCell ref="F23:P23"/>
    <mergeCell ref="Q23:Z23"/>
    <mergeCell ref="AA23:AG23"/>
    <mergeCell ref="A24:E24"/>
    <mergeCell ref="F24:P24"/>
    <mergeCell ref="Q24:Z24"/>
    <mergeCell ref="AA24:AG24"/>
  </mergeCells>
  <phoneticPr fontId="9" type="noConversion"/>
  <conditionalFormatting sqref="B14:AF14">
    <cfRule type="containsText" dxfId="30" priority="1" operator="containsText" text="H">
      <formula>NOT(ISERROR(SEARCH("H",B14)))</formula>
    </cfRule>
  </conditionalFormatting>
  <conditionalFormatting sqref="B14:AF15">
    <cfRule type="containsText" dxfId="29" priority="2" operator="containsText" text="M">
      <formula>NOT(ISERROR(SEARCH("M",B14)))</formula>
    </cfRule>
    <cfRule type="expression" dxfId="28" priority="3">
      <formula>B$13="Fri"</formula>
    </cfRule>
    <cfRule type="containsText" dxfId="27" priority="4" operator="containsText" text="A">
      <formula>NOT(ISERROR(SEARCH("A",B14)))</formula>
    </cfRule>
  </conditionalFormatting>
  <conditionalFormatting sqref="F24:P24">
    <cfRule type="expression" dxfId="26" priority="5">
      <formula>B$13="Fri"</formula>
    </cfRule>
  </conditionalFormatting>
  <dataValidations count="1">
    <dataValidation errorStyle="information" allowBlank="1" showInputMessage="1" showErrorMessage="1" sqref="K13" xr:uid="{BFEB062C-CE68-4B53-A825-916A81A14549}"/>
  </dataValidations>
  <pageMargins left="0.7" right="0.7" top="0.75" bottom="0.75" header="0.3" footer="0.3"/>
  <pageSetup paperSize="9" scale="82" orientation="landscape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information" allowBlank="1" showInputMessage="1" xr:uid="{5ED8C5EF-EB63-4EF7-82D9-56AD7E131DF9}">
          <x14:formula1>
            <xm:f>DATA!$A$3:$A$13</xm:f>
          </x14:formula1>
          <xm:sqref>A7:AG7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5D513-EA0A-4838-BCE6-0091D5F4D8B1}">
  <sheetPr>
    <pageSetUpPr fitToPage="1"/>
  </sheetPr>
  <dimension ref="A1:AG36"/>
  <sheetViews>
    <sheetView topLeftCell="A6" workbookViewId="0">
      <selection activeCell="B12" sqref="B12:AF13"/>
    </sheetView>
  </sheetViews>
  <sheetFormatPr defaultRowHeight="15" x14ac:dyDescent="0.25"/>
  <cols>
    <col min="1" max="1" width="16.5703125" bestFit="1" customWidth="1"/>
    <col min="2" max="2" width="4.7109375" bestFit="1" customWidth="1"/>
    <col min="3" max="3" width="4.5703125" bestFit="1" customWidth="1"/>
    <col min="4" max="4" width="5.28515625" bestFit="1" customWidth="1"/>
    <col min="5" max="5" width="4.7109375" bestFit="1" customWidth="1"/>
    <col min="6" max="6" width="5.140625" bestFit="1" customWidth="1"/>
    <col min="7" max="7" width="4.42578125" bestFit="1" customWidth="1"/>
    <col min="8" max="8" width="5.42578125" bestFit="1" customWidth="1"/>
    <col min="9" max="9" width="3.85546875" customWidth="1"/>
    <col min="10" max="10" width="4.5703125" bestFit="1" customWidth="1"/>
    <col min="11" max="11" width="5.28515625" bestFit="1" customWidth="1"/>
    <col min="12" max="12" width="4.140625" bestFit="1" customWidth="1"/>
    <col min="13" max="13" width="5.140625" bestFit="1" customWidth="1"/>
    <col min="14" max="14" width="4.42578125" bestFit="1" customWidth="1"/>
    <col min="15" max="15" width="5.42578125" bestFit="1" customWidth="1"/>
    <col min="16" max="16" width="5.140625" bestFit="1" customWidth="1"/>
    <col min="17" max="17" width="4.5703125" bestFit="1" customWidth="1"/>
    <col min="18" max="18" width="5.28515625" bestFit="1" customWidth="1"/>
    <col min="19" max="19" width="4.140625" bestFit="1" customWidth="1"/>
    <col min="20" max="20" width="5.140625" bestFit="1" customWidth="1"/>
    <col min="21" max="21" width="4.42578125" bestFit="1" customWidth="1"/>
    <col min="22" max="22" width="4.7109375" bestFit="1" customWidth="1"/>
    <col min="23" max="23" width="5.140625" bestFit="1" customWidth="1"/>
    <col min="24" max="24" width="4.5703125" bestFit="1" customWidth="1"/>
    <col min="25" max="25" width="5.28515625" bestFit="1" customWidth="1"/>
    <col min="26" max="26" width="4.5703125" bestFit="1" customWidth="1"/>
    <col min="27" max="27" width="5.140625" bestFit="1" customWidth="1"/>
    <col min="28" max="28" width="4.42578125" bestFit="1" customWidth="1"/>
    <col min="29" max="29" width="4.7109375" bestFit="1" customWidth="1"/>
    <col min="30" max="30" width="4" bestFit="1" customWidth="1"/>
    <col min="31" max="31" width="4.5703125" bestFit="1" customWidth="1"/>
    <col min="32" max="32" width="5.28515625" bestFit="1" customWidth="1"/>
    <col min="33" max="33" width="7.7109375" bestFit="1" customWidth="1"/>
  </cols>
  <sheetData>
    <row r="1" spans="1:33" ht="14.45" customHeight="1" x14ac:dyDescent="0.65"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</row>
    <row r="2" spans="1:33" ht="14.45" customHeight="1" x14ac:dyDescent="0.65"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</row>
    <row r="3" spans="1:33" ht="14.45" customHeight="1" x14ac:dyDescent="0.65"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</row>
    <row r="4" spans="1:33" ht="14.45" customHeight="1" x14ac:dyDescent="0.65"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</row>
    <row r="5" spans="1:33" ht="21" customHeight="1" x14ac:dyDescent="0.45"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</row>
    <row r="6" spans="1:33" ht="14.45" customHeight="1" x14ac:dyDescent="0.45">
      <c r="F6" s="1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</row>
    <row r="7" spans="1:33" ht="22.5" x14ac:dyDescent="0.25">
      <c r="A7" s="96" t="s">
        <v>54</v>
      </c>
      <c r="B7" s="97"/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97"/>
      <c r="AC7" s="97"/>
      <c r="AD7" s="97"/>
      <c r="AE7" s="97"/>
      <c r="AF7" s="97"/>
      <c r="AG7" s="97"/>
    </row>
    <row r="8" spans="1:33" ht="15.75" thickBot="1" x14ac:dyDescent="0.3"/>
    <row r="9" spans="1:33" ht="15.75" thickBot="1" x14ac:dyDescent="0.3">
      <c r="A9" s="2" t="s">
        <v>0</v>
      </c>
      <c r="B9" s="79" t="s">
        <v>47</v>
      </c>
      <c r="C9" s="80"/>
      <c r="D9" s="80"/>
      <c r="E9" s="80"/>
      <c r="F9" s="80"/>
      <c r="G9" s="80"/>
      <c r="H9" s="80"/>
      <c r="I9" s="81"/>
      <c r="J9" s="3"/>
      <c r="K9" s="98" t="s">
        <v>1</v>
      </c>
      <c r="L9" s="99"/>
      <c r="M9" s="99"/>
      <c r="N9" s="99"/>
      <c r="O9" s="100"/>
      <c r="P9" s="85"/>
      <c r="Q9" s="86"/>
      <c r="R9" s="86"/>
      <c r="S9" s="86"/>
      <c r="T9" s="86"/>
      <c r="U9" s="86"/>
      <c r="V9" s="87"/>
      <c r="W9" s="3"/>
      <c r="X9" s="98" t="s">
        <v>2</v>
      </c>
      <c r="Y9" s="99"/>
      <c r="Z9" s="99"/>
      <c r="AA9" s="99"/>
      <c r="AB9" s="100"/>
      <c r="AC9" s="101"/>
      <c r="AD9" s="102"/>
      <c r="AE9" s="102"/>
      <c r="AF9" s="102"/>
      <c r="AG9" s="103"/>
    </row>
    <row r="10" spans="1:33" ht="15.75" thickBot="1" x14ac:dyDescent="0.3">
      <c r="A10" s="4" t="s">
        <v>3</v>
      </c>
      <c r="B10" s="79">
        <v>2584349670</v>
      </c>
      <c r="C10" s="80"/>
      <c r="D10" s="80"/>
      <c r="E10" s="80"/>
      <c r="F10" s="80"/>
      <c r="G10" s="80"/>
      <c r="H10" s="80"/>
      <c r="I10" s="81"/>
      <c r="J10" s="3"/>
      <c r="K10" s="82" t="s">
        <v>4</v>
      </c>
      <c r="L10" s="83"/>
      <c r="M10" s="83"/>
      <c r="N10" s="83"/>
      <c r="O10" s="84"/>
      <c r="P10" s="85" t="s">
        <v>42</v>
      </c>
      <c r="Q10" s="86"/>
      <c r="R10" s="86"/>
      <c r="S10" s="86"/>
      <c r="T10" s="86"/>
      <c r="U10" s="86"/>
      <c r="V10" s="87"/>
      <c r="W10" s="3"/>
      <c r="X10" s="82" t="s">
        <v>5</v>
      </c>
      <c r="Y10" s="83"/>
      <c r="Z10" s="83"/>
      <c r="AA10" s="83"/>
      <c r="AB10" s="84"/>
      <c r="AC10" s="85"/>
      <c r="AD10" s="86"/>
      <c r="AE10" s="86"/>
      <c r="AF10" s="86"/>
      <c r="AG10" s="87"/>
    </row>
    <row r="11" spans="1:33" ht="15.75" thickBot="1" x14ac:dyDescent="0.3"/>
    <row r="12" spans="1:33" ht="16.5" thickBot="1" x14ac:dyDescent="0.3">
      <c r="A12" s="5" t="s">
        <v>6</v>
      </c>
      <c r="B12" s="12">
        <f>DATA!$I$4</f>
        <v>46023</v>
      </c>
      <c r="C12" s="12">
        <f>IF(B12&lt;DATA!$C$4,B12+1,"")</f>
        <v>46024</v>
      </c>
      <c r="D12" s="12">
        <f>IF(C12&lt;DATA!$C$4,C12+1,"")</f>
        <v>46025</v>
      </c>
      <c r="E12" s="12">
        <f>IF(D12&lt;DATA!$C$4,D12+1,"")</f>
        <v>46026</v>
      </c>
      <c r="F12" s="12">
        <f>IF(E12&lt;DATA!$C$4,E12+1,"")</f>
        <v>46027</v>
      </c>
      <c r="G12" s="12">
        <f>IF(F12&lt;DATA!$C$4,F12+1,"")</f>
        <v>46028</v>
      </c>
      <c r="H12" s="12">
        <f>IF(G12&lt;DATA!$C$4,G12+1,"")</f>
        <v>46029</v>
      </c>
      <c r="I12" s="12">
        <f>IF(H12&lt;DATA!$C$4,H12+1,"")</f>
        <v>46030</v>
      </c>
      <c r="J12" s="12">
        <f>IF(I12&lt;DATA!$C$4,I12+1,"")</f>
        <v>46031</v>
      </c>
      <c r="K12" s="12">
        <f>IF(J12&lt;DATA!$C$4,J12+1,"")</f>
        <v>46032</v>
      </c>
      <c r="L12" s="12">
        <f>IF(K12&lt;DATA!$C$4,K12+1,"")</f>
        <v>46033</v>
      </c>
      <c r="M12" s="12">
        <f>IF(L12&lt;DATA!$C$4,L12+1,"")</f>
        <v>46034</v>
      </c>
      <c r="N12" s="12">
        <f>IF(M12&lt;DATA!$C$4,M12+1,"")</f>
        <v>46035</v>
      </c>
      <c r="O12" s="12">
        <f>IF(N12&lt;DATA!$C$4,N12+1,"")</f>
        <v>46036</v>
      </c>
      <c r="P12" s="12">
        <f>IF(O12&lt;DATA!$C$4,O12+1,"")</f>
        <v>46037</v>
      </c>
      <c r="Q12" s="12">
        <f>IF(P12&lt;DATA!$C$4,P12+1,"")</f>
        <v>46038</v>
      </c>
      <c r="R12" s="12">
        <f>IF(Q12&lt;DATA!$C$4,Q12+1,"")</f>
        <v>46039</v>
      </c>
      <c r="S12" s="12">
        <f>IF(R12&lt;DATA!$C$4,R12+1,"")</f>
        <v>46040</v>
      </c>
      <c r="T12" s="12">
        <f>IF(S12&lt;DATA!$C$4,S12+1,"")</f>
        <v>46041</v>
      </c>
      <c r="U12" s="12">
        <f>IF(T12&lt;DATA!$C$4,T12+1,"")</f>
        <v>46042</v>
      </c>
      <c r="V12" s="12">
        <f>IF(U12&lt;DATA!$C$4,U12+1,"")</f>
        <v>46043</v>
      </c>
      <c r="W12" s="12">
        <f>IF(V12&lt;DATA!$C$4,V12+1,"")</f>
        <v>46044</v>
      </c>
      <c r="X12" s="12">
        <f>IF(W12&lt;DATA!$C$4,W12+1,"")</f>
        <v>46045</v>
      </c>
      <c r="Y12" s="12">
        <f>IF(X12&lt;DATA!$C$4,X12+1,"")</f>
        <v>46046</v>
      </c>
      <c r="Z12" s="12">
        <f>IF(Y12&lt;DATA!$C$4,Y12+1,"")</f>
        <v>46047</v>
      </c>
      <c r="AA12" s="12">
        <f>IF(Z12&lt;DATA!$C$4,Z12+1,"")</f>
        <v>46048</v>
      </c>
      <c r="AB12" s="12">
        <f>IF(AA12&lt;DATA!$C$4,AA12+1,"")</f>
        <v>46049</v>
      </c>
      <c r="AC12" s="12">
        <f>IF(AB12&lt;DATA!$C$4,AB12+1,"")</f>
        <v>46050</v>
      </c>
      <c r="AD12" s="12">
        <f>IF(AC12&lt;DATA!$C$4,AC12+1,"")</f>
        <v>46051</v>
      </c>
      <c r="AE12" s="12">
        <f>IF(AD12&lt;DATA!$C$4,AD12+1,"")</f>
        <v>46052</v>
      </c>
      <c r="AF12" s="12">
        <f>IF(AE12&lt;DATA!$C$4,AE12+1,"")</f>
        <v>46053</v>
      </c>
      <c r="AG12" s="88" t="s">
        <v>7</v>
      </c>
    </row>
    <row r="13" spans="1:33" ht="16.5" thickBot="1" x14ac:dyDescent="0.3">
      <c r="A13" s="5" t="s">
        <v>8</v>
      </c>
      <c r="B13" s="11" t="str">
        <f t="shared" ref="B13:AF13" si="0">TEXT(B12,"ddd")</f>
        <v>Thu</v>
      </c>
      <c r="C13" s="11" t="str">
        <f t="shared" si="0"/>
        <v>Fri</v>
      </c>
      <c r="D13" s="11" t="str">
        <f t="shared" si="0"/>
        <v>Sat</v>
      </c>
      <c r="E13" s="11" t="str">
        <f t="shared" si="0"/>
        <v>Sun</v>
      </c>
      <c r="F13" s="11" t="str">
        <f t="shared" si="0"/>
        <v>Mon</v>
      </c>
      <c r="G13" s="11" t="str">
        <f t="shared" si="0"/>
        <v>Tue</v>
      </c>
      <c r="H13" s="11" t="str">
        <f t="shared" si="0"/>
        <v>Wed</v>
      </c>
      <c r="I13" s="11" t="str">
        <f t="shared" si="0"/>
        <v>Thu</v>
      </c>
      <c r="J13" s="11" t="str">
        <f t="shared" si="0"/>
        <v>Fri</v>
      </c>
      <c r="K13" s="11" t="str">
        <f t="shared" si="0"/>
        <v>Sat</v>
      </c>
      <c r="L13" s="11" t="str">
        <f t="shared" si="0"/>
        <v>Sun</v>
      </c>
      <c r="M13" s="11" t="str">
        <f t="shared" si="0"/>
        <v>Mon</v>
      </c>
      <c r="N13" s="11" t="str">
        <f t="shared" si="0"/>
        <v>Tue</v>
      </c>
      <c r="O13" s="11" t="str">
        <f t="shared" si="0"/>
        <v>Wed</v>
      </c>
      <c r="P13" s="11" t="str">
        <f t="shared" si="0"/>
        <v>Thu</v>
      </c>
      <c r="Q13" s="11" t="str">
        <f t="shared" si="0"/>
        <v>Fri</v>
      </c>
      <c r="R13" s="11" t="str">
        <f t="shared" si="0"/>
        <v>Sat</v>
      </c>
      <c r="S13" s="11" t="str">
        <f t="shared" si="0"/>
        <v>Sun</v>
      </c>
      <c r="T13" s="11" t="str">
        <f t="shared" si="0"/>
        <v>Mon</v>
      </c>
      <c r="U13" s="11" t="str">
        <f t="shared" si="0"/>
        <v>Tue</v>
      </c>
      <c r="V13" s="11" t="str">
        <f t="shared" si="0"/>
        <v>Wed</v>
      </c>
      <c r="W13" s="11" t="str">
        <f t="shared" si="0"/>
        <v>Thu</v>
      </c>
      <c r="X13" s="11" t="str">
        <f t="shared" si="0"/>
        <v>Fri</v>
      </c>
      <c r="Y13" s="11" t="str">
        <f t="shared" si="0"/>
        <v>Sat</v>
      </c>
      <c r="Z13" s="11" t="str">
        <f t="shared" si="0"/>
        <v>Sun</v>
      </c>
      <c r="AA13" s="11" t="str">
        <f t="shared" si="0"/>
        <v>Mon</v>
      </c>
      <c r="AB13" s="11" t="str">
        <f t="shared" si="0"/>
        <v>Tue</v>
      </c>
      <c r="AC13" s="11" t="str">
        <f t="shared" si="0"/>
        <v>Wed</v>
      </c>
      <c r="AD13" s="11" t="str">
        <f t="shared" si="0"/>
        <v>Thu</v>
      </c>
      <c r="AE13" s="11" t="str">
        <f t="shared" si="0"/>
        <v>Fri</v>
      </c>
      <c r="AF13" s="11" t="str">
        <f t="shared" si="0"/>
        <v>Sat</v>
      </c>
      <c r="AG13" s="89"/>
    </row>
    <row r="14" spans="1:33" ht="16.5" thickBot="1" x14ac:dyDescent="0.3">
      <c r="A14" s="6" t="s">
        <v>9</v>
      </c>
      <c r="B14" s="13">
        <v>8</v>
      </c>
      <c r="C14" s="13"/>
      <c r="D14" s="13">
        <v>8</v>
      </c>
      <c r="E14" s="13">
        <v>8</v>
      </c>
      <c r="F14" s="13">
        <v>8</v>
      </c>
      <c r="G14" s="13">
        <v>8</v>
      </c>
      <c r="H14" s="13">
        <v>8</v>
      </c>
      <c r="I14" s="13">
        <v>8</v>
      </c>
      <c r="J14" s="13"/>
      <c r="K14" s="13">
        <v>8</v>
      </c>
      <c r="L14" s="13">
        <v>8</v>
      </c>
      <c r="M14" s="13">
        <v>8</v>
      </c>
      <c r="N14" s="13">
        <v>8</v>
      </c>
      <c r="O14" s="13">
        <v>8</v>
      </c>
      <c r="P14" s="13">
        <v>8</v>
      </c>
      <c r="Q14" s="13"/>
      <c r="R14" s="13">
        <v>8</v>
      </c>
      <c r="S14" s="13">
        <v>8</v>
      </c>
      <c r="T14" s="13" t="s">
        <v>53</v>
      </c>
      <c r="U14" s="13">
        <v>8</v>
      </c>
      <c r="V14" s="13">
        <v>8</v>
      </c>
      <c r="W14" s="13">
        <v>8</v>
      </c>
      <c r="X14" s="13"/>
      <c r="Y14" s="13">
        <v>8</v>
      </c>
      <c r="Z14" s="13">
        <v>8</v>
      </c>
      <c r="AA14" s="13">
        <v>8</v>
      </c>
      <c r="AB14" s="13">
        <v>8</v>
      </c>
      <c r="AC14" s="13">
        <v>8</v>
      </c>
      <c r="AD14" s="13">
        <v>8</v>
      </c>
      <c r="AE14" s="13"/>
      <c r="AF14" s="13"/>
      <c r="AG14" s="5">
        <f>SUM(B14:AF14)</f>
        <v>192</v>
      </c>
    </row>
    <row r="15" spans="1:33" ht="16.5" thickBot="1" x14ac:dyDescent="0.3">
      <c r="A15" s="7" t="s">
        <v>10</v>
      </c>
      <c r="B15" s="13">
        <v>3</v>
      </c>
      <c r="C15" s="27"/>
      <c r="D15" s="13">
        <v>3</v>
      </c>
      <c r="E15" s="13">
        <v>3</v>
      </c>
      <c r="F15" s="13">
        <v>3</v>
      </c>
      <c r="G15" s="13">
        <v>3</v>
      </c>
      <c r="H15" s="27">
        <v>3</v>
      </c>
      <c r="I15" s="13">
        <v>3</v>
      </c>
      <c r="J15" s="13"/>
      <c r="K15" s="13">
        <v>3</v>
      </c>
      <c r="L15" s="13">
        <v>3</v>
      </c>
      <c r="M15" s="13">
        <v>3</v>
      </c>
      <c r="N15" s="13">
        <v>2</v>
      </c>
      <c r="O15" s="27">
        <v>2</v>
      </c>
      <c r="P15" s="13">
        <v>2</v>
      </c>
      <c r="Q15" s="13"/>
      <c r="R15" s="13">
        <v>2</v>
      </c>
      <c r="S15" s="13">
        <v>2</v>
      </c>
      <c r="T15" s="13"/>
      <c r="U15" s="13">
        <v>2</v>
      </c>
      <c r="V15" s="13">
        <v>2</v>
      </c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8">
        <f>SUM(B15:AF15)</f>
        <v>44</v>
      </c>
    </row>
    <row r="16" spans="1:33" ht="15.75" thickBot="1" x14ac:dyDescent="0.3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6.5" thickBot="1" x14ac:dyDescent="0.3">
      <c r="A17" s="1"/>
      <c r="B17" s="90" t="s">
        <v>11</v>
      </c>
      <c r="C17" s="91"/>
      <c r="D17" s="91"/>
      <c r="E17" s="91"/>
      <c r="F17" s="92"/>
      <c r="G17" s="90">
        <f>COUNTIF(B14:AF14,"A")</f>
        <v>1</v>
      </c>
      <c r="H17" s="91"/>
      <c r="I17" s="92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90" t="s">
        <v>12</v>
      </c>
      <c r="V17" s="91"/>
      <c r="W17" s="91"/>
      <c r="X17" s="91"/>
      <c r="Y17" s="91"/>
      <c r="Z17" s="92"/>
      <c r="AA17" s="90">
        <f>AG14+AG15</f>
        <v>236</v>
      </c>
      <c r="AB17" s="91"/>
      <c r="AC17" s="91"/>
      <c r="AD17" s="92"/>
      <c r="AE17" s="1"/>
      <c r="AF17" s="1"/>
      <c r="AG17" s="1"/>
    </row>
    <row r="18" spans="1:33" ht="15.75" thickBo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9.5" thickBot="1" x14ac:dyDescent="0.35">
      <c r="A19" s="93" t="s">
        <v>13</v>
      </c>
      <c r="B19" s="94"/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4"/>
      <c r="AB19" s="94"/>
      <c r="AC19" s="94"/>
      <c r="AD19" s="94"/>
      <c r="AE19" s="94"/>
      <c r="AF19" s="94"/>
      <c r="AG19" s="95"/>
    </row>
    <row r="20" spans="1:33" ht="19.5" thickBot="1" x14ac:dyDescent="0.35">
      <c r="A20" s="76" t="s">
        <v>14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8"/>
      <c r="Q20" s="76" t="s">
        <v>15</v>
      </c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77"/>
      <c r="AD20" s="77"/>
      <c r="AE20" s="77"/>
      <c r="AF20" s="77"/>
      <c r="AG20" s="78"/>
    </row>
    <row r="21" spans="1:33" x14ac:dyDescent="0.25">
      <c r="A21" s="65" t="s">
        <v>16</v>
      </c>
      <c r="B21" s="66"/>
      <c r="C21" s="66"/>
      <c r="D21" s="66"/>
      <c r="E21" s="67"/>
      <c r="F21" s="68">
        <v>1300</v>
      </c>
      <c r="G21" s="69"/>
      <c r="H21" s="69"/>
      <c r="I21" s="69"/>
      <c r="J21" s="69"/>
      <c r="K21" s="69"/>
      <c r="L21" s="69"/>
      <c r="M21" s="69"/>
      <c r="N21" s="69"/>
      <c r="O21" s="69"/>
      <c r="P21" s="70"/>
      <c r="Q21" s="65" t="s">
        <v>17</v>
      </c>
      <c r="R21" s="66"/>
      <c r="S21" s="66"/>
      <c r="T21" s="66"/>
      <c r="U21" s="66"/>
      <c r="V21" s="66"/>
      <c r="W21" s="66"/>
      <c r="X21" s="66"/>
      <c r="Y21" s="66"/>
      <c r="Z21" s="67"/>
      <c r="AA21" s="71">
        <f>F21/30*G17*2</f>
        <v>86.666666666666671</v>
      </c>
      <c r="AB21" s="71"/>
      <c r="AC21" s="71"/>
      <c r="AD21" s="71"/>
      <c r="AE21" s="71"/>
      <c r="AF21" s="71"/>
      <c r="AG21" s="72"/>
    </row>
    <row r="22" spans="1:33" x14ac:dyDescent="0.25">
      <c r="A22" s="49" t="s">
        <v>18</v>
      </c>
      <c r="B22" s="50"/>
      <c r="C22" s="50"/>
      <c r="D22" s="50"/>
      <c r="E22" s="51"/>
      <c r="F22" s="52">
        <v>0</v>
      </c>
      <c r="G22" s="53"/>
      <c r="H22" s="53"/>
      <c r="I22" s="53"/>
      <c r="J22" s="53"/>
      <c r="K22" s="53"/>
      <c r="L22" s="53"/>
      <c r="M22" s="53"/>
      <c r="N22" s="53"/>
      <c r="O22" s="53"/>
      <c r="P22" s="54"/>
      <c r="Q22" s="73" t="s">
        <v>19</v>
      </c>
      <c r="R22" s="74"/>
      <c r="S22" s="74"/>
      <c r="T22" s="74"/>
      <c r="U22" s="74"/>
      <c r="V22" s="74"/>
      <c r="W22" s="74"/>
      <c r="X22" s="74"/>
      <c r="Y22" s="74"/>
      <c r="Z22" s="75"/>
      <c r="AA22" s="55">
        <v>0</v>
      </c>
      <c r="AB22" s="55"/>
      <c r="AC22" s="55"/>
      <c r="AD22" s="55"/>
      <c r="AE22" s="55"/>
      <c r="AF22" s="55"/>
      <c r="AG22" s="56"/>
    </row>
    <row r="23" spans="1:33" x14ac:dyDescent="0.25">
      <c r="A23" s="49" t="s">
        <v>10</v>
      </c>
      <c r="B23" s="50"/>
      <c r="C23" s="50"/>
      <c r="D23" s="50"/>
      <c r="E23" s="51"/>
      <c r="F23" s="52">
        <f>F21/30/8*1.5*AG15</f>
        <v>357.5</v>
      </c>
      <c r="G23" s="53"/>
      <c r="H23" s="53"/>
      <c r="I23" s="53"/>
      <c r="J23" s="53"/>
      <c r="K23" s="53"/>
      <c r="L23" s="53"/>
      <c r="M23" s="53"/>
      <c r="N23" s="53"/>
      <c r="O23" s="53"/>
      <c r="P23" s="54"/>
      <c r="Q23" s="49" t="s">
        <v>20</v>
      </c>
      <c r="R23" s="50"/>
      <c r="S23" s="50"/>
      <c r="T23" s="50"/>
      <c r="U23" s="50"/>
      <c r="V23" s="50"/>
      <c r="W23" s="50"/>
      <c r="X23" s="50"/>
      <c r="Y23" s="50"/>
      <c r="Z23" s="51"/>
      <c r="AA23" s="55">
        <v>0</v>
      </c>
      <c r="AB23" s="55"/>
      <c r="AC23" s="55"/>
      <c r="AD23" s="55"/>
      <c r="AE23" s="55"/>
      <c r="AF23" s="55"/>
      <c r="AG23" s="56"/>
    </row>
    <row r="24" spans="1:33" ht="15.75" thickBot="1" x14ac:dyDescent="0.3">
      <c r="A24" s="57" t="s">
        <v>21</v>
      </c>
      <c r="B24" s="58"/>
      <c r="C24" s="58"/>
      <c r="D24" s="58"/>
      <c r="E24" s="59"/>
      <c r="F24" s="60">
        <f>SUM(F21:P23)</f>
        <v>1657.5</v>
      </c>
      <c r="G24" s="61"/>
      <c r="H24" s="61"/>
      <c r="I24" s="61"/>
      <c r="J24" s="61"/>
      <c r="K24" s="61"/>
      <c r="L24" s="61"/>
      <c r="M24" s="61"/>
      <c r="N24" s="61"/>
      <c r="O24" s="61"/>
      <c r="P24" s="62"/>
      <c r="Q24" s="57" t="s">
        <v>21</v>
      </c>
      <c r="R24" s="58"/>
      <c r="S24" s="58"/>
      <c r="T24" s="58"/>
      <c r="U24" s="58"/>
      <c r="V24" s="58"/>
      <c r="W24" s="58"/>
      <c r="X24" s="58"/>
      <c r="Y24" s="58"/>
      <c r="Z24" s="59"/>
      <c r="AA24" s="63">
        <f>SUM(AA21:AG23)</f>
        <v>86.666666666666671</v>
      </c>
      <c r="AB24" s="63"/>
      <c r="AC24" s="63"/>
      <c r="AD24" s="63"/>
      <c r="AE24" s="63"/>
      <c r="AF24" s="63"/>
      <c r="AG24" s="64"/>
    </row>
    <row r="25" spans="1:33" ht="15.75" thickBo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21.75" thickBot="1" x14ac:dyDescent="0.3">
      <c r="A26" s="9"/>
      <c r="B26" s="9"/>
      <c r="C26" s="9"/>
      <c r="D26" s="9"/>
      <c r="E26" s="44" t="s">
        <v>22</v>
      </c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6"/>
      <c r="S26" s="47">
        <f>F24-AA24</f>
        <v>1570.8333333333333</v>
      </c>
      <c r="T26" s="45"/>
      <c r="U26" s="45"/>
      <c r="V26" s="45"/>
      <c r="W26" s="45"/>
      <c r="X26" s="45"/>
      <c r="Y26" s="45"/>
      <c r="Z26" s="46"/>
      <c r="AA26" s="10"/>
      <c r="AB26" s="10"/>
      <c r="AC26" s="10"/>
      <c r="AD26" s="10"/>
      <c r="AE26" s="10"/>
      <c r="AF26" s="10"/>
      <c r="AG26" s="10"/>
    </row>
    <row r="36" spans="2:28" ht="18.75" x14ac:dyDescent="0.3">
      <c r="B36" s="48" t="s">
        <v>23</v>
      </c>
      <c r="C36" s="48"/>
      <c r="D36" s="48"/>
      <c r="E36" s="48"/>
      <c r="F36" s="48"/>
      <c r="G36" s="48"/>
      <c r="H36" s="48"/>
      <c r="V36" s="48" t="s">
        <v>24</v>
      </c>
      <c r="W36" s="48"/>
      <c r="X36" s="48"/>
      <c r="Y36" s="48"/>
      <c r="Z36" s="48"/>
      <c r="AA36" s="48"/>
      <c r="AB36" s="48"/>
    </row>
  </sheetData>
  <mergeCells count="39">
    <mergeCell ref="A7:AG7"/>
    <mergeCell ref="B9:I9"/>
    <mergeCell ref="K9:O9"/>
    <mergeCell ref="P9:V9"/>
    <mergeCell ref="X9:AB9"/>
    <mergeCell ref="AC9:AG9"/>
    <mergeCell ref="A20:P20"/>
    <mergeCell ref="Q20:AG20"/>
    <mergeCell ref="B10:I10"/>
    <mergeCell ref="K10:O10"/>
    <mergeCell ref="P10:V10"/>
    <mergeCell ref="X10:AB10"/>
    <mergeCell ref="AC10:AG10"/>
    <mergeCell ref="AG12:AG13"/>
    <mergeCell ref="B17:F17"/>
    <mergeCell ref="G17:I17"/>
    <mergeCell ref="U17:Z17"/>
    <mergeCell ref="AA17:AD17"/>
    <mergeCell ref="A19:AG19"/>
    <mergeCell ref="A21:E21"/>
    <mergeCell ref="F21:P21"/>
    <mergeCell ref="Q21:Z21"/>
    <mergeCell ref="AA21:AG21"/>
    <mergeCell ref="A22:E22"/>
    <mergeCell ref="F22:P22"/>
    <mergeCell ref="Q22:Z22"/>
    <mergeCell ref="AA22:AG22"/>
    <mergeCell ref="E26:R26"/>
    <mergeCell ref="S26:Z26"/>
    <mergeCell ref="B36:H36"/>
    <mergeCell ref="V36:AB36"/>
    <mergeCell ref="A23:E23"/>
    <mergeCell ref="F23:P23"/>
    <mergeCell ref="Q23:Z23"/>
    <mergeCell ref="AA23:AG23"/>
    <mergeCell ref="A24:E24"/>
    <mergeCell ref="F24:P24"/>
    <mergeCell ref="Q24:Z24"/>
    <mergeCell ref="AA24:AG24"/>
  </mergeCells>
  <phoneticPr fontId="9" type="noConversion"/>
  <conditionalFormatting sqref="B14:AF14">
    <cfRule type="containsText" dxfId="25" priority="1" operator="containsText" text="H">
      <formula>NOT(ISERROR(SEARCH("H",B14)))</formula>
    </cfRule>
  </conditionalFormatting>
  <conditionalFormatting sqref="B14:AF15">
    <cfRule type="containsText" dxfId="24" priority="2" operator="containsText" text="M">
      <formula>NOT(ISERROR(SEARCH("M",B14)))</formula>
    </cfRule>
    <cfRule type="expression" dxfId="23" priority="3">
      <formula>B$13="Fri"</formula>
    </cfRule>
    <cfRule type="containsText" dxfId="22" priority="4" operator="containsText" text="A">
      <formula>NOT(ISERROR(SEARCH("A",B14)))</formula>
    </cfRule>
  </conditionalFormatting>
  <conditionalFormatting sqref="F24:P24">
    <cfRule type="expression" dxfId="21" priority="5">
      <formula>B$13="Fri"</formula>
    </cfRule>
  </conditionalFormatting>
  <dataValidations count="1">
    <dataValidation errorStyle="information" allowBlank="1" showInputMessage="1" showErrorMessage="1" sqref="K13" xr:uid="{492B36B3-8A83-454D-BD4F-E18AB74478BD}"/>
  </dataValidations>
  <pageMargins left="0.7" right="0.7" top="0.75" bottom="0.75" header="0.3" footer="0.3"/>
  <pageSetup paperSize="9" scale="77" orientation="landscape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information" allowBlank="1" showInputMessage="1" xr:uid="{31DD69DB-F3C3-4329-A670-59116ABE58E1}">
          <x14:formula1>
            <xm:f>DATA!$A$3:$A$13</xm:f>
          </x14:formula1>
          <xm:sqref>A7:AG7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CA822-54E5-455B-980E-A02720C61115}">
  <sheetPr>
    <pageSetUpPr fitToPage="1"/>
  </sheetPr>
  <dimension ref="A1:AG36"/>
  <sheetViews>
    <sheetView workbookViewId="0">
      <selection activeCell="B12" sqref="B12:AF13"/>
    </sheetView>
  </sheetViews>
  <sheetFormatPr defaultRowHeight="15" x14ac:dyDescent="0.25"/>
  <cols>
    <col min="1" max="1" width="16.5703125" bestFit="1" customWidth="1"/>
    <col min="2" max="2" width="5.140625" bestFit="1" customWidth="1"/>
    <col min="3" max="3" width="4.140625" bestFit="1" customWidth="1"/>
    <col min="4" max="4" width="4.85546875" bestFit="1" customWidth="1"/>
    <col min="5" max="5" width="4.42578125" bestFit="1" customWidth="1"/>
    <col min="6" max="6" width="3.7109375" bestFit="1" customWidth="1"/>
    <col min="7" max="7" width="4.140625" bestFit="1" customWidth="1"/>
    <col min="8" max="8" width="4.7109375" bestFit="1" customWidth="1"/>
    <col min="9" max="9" width="5.140625" bestFit="1" customWidth="1"/>
    <col min="10" max="10" width="4.140625" bestFit="1" customWidth="1"/>
    <col min="11" max="11" width="4.85546875" bestFit="1" customWidth="1"/>
    <col min="12" max="12" width="4.42578125" bestFit="1" customWidth="1"/>
    <col min="13" max="13" width="3.7109375" bestFit="1" customWidth="1"/>
    <col min="14" max="14" width="4.140625" bestFit="1" customWidth="1"/>
    <col min="15" max="15" width="4.7109375" bestFit="1" customWidth="1"/>
    <col min="16" max="16" width="5.140625" bestFit="1" customWidth="1"/>
    <col min="17" max="17" width="4.140625" bestFit="1" customWidth="1"/>
    <col min="18" max="18" width="4.85546875" bestFit="1" customWidth="1"/>
    <col min="19" max="19" width="4.42578125" bestFit="1" customWidth="1"/>
    <col min="20" max="20" width="3.7109375" bestFit="1" customWidth="1"/>
    <col min="21" max="21" width="4.140625" bestFit="1" customWidth="1"/>
    <col min="22" max="22" width="4.7109375" bestFit="1" customWidth="1"/>
    <col min="23" max="23" width="5.140625" bestFit="1" customWidth="1"/>
    <col min="24" max="24" width="4.140625" bestFit="1" customWidth="1"/>
    <col min="25" max="25" width="4.85546875" bestFit="1" customWidth="1"/>
    <col min="26" max="26" width="4.42578125" bestFit="1" customWidth="1"/>
    <col min="27" max="27" width="3.7109375" bestFit="1" customWidth="1"/>
    <col min="28" max="28" width="4.140625" bestFit="1" customWidth="1"/>
    <col min="29" max="29" width="4.7109375" bestFit="1" customWidth="1"/>
    <col min="30" max="30" width="5.140625" bestFit="1" customWidth="1"/>
    <col min="31" max="31" width="4.140625" bestFit="1" customWidth="1"/>
    <col min="32" max="32" width="5.28515625" bestFit="1" customWidth="1"/>
    <col min="33" max="33" width="7.7109375" bestFit="1" customWidth="1"/>
  </cols>
  <sheetData>
    <row r="1" spans="1:33" ht="14.45" customHeight="1" x14ac:dyDescent="0.65"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</row>
    <row r="2" spans="1:33" ht="14.45" customHeight="1" x14ac:dyDescent="0.65"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</row>
    <row r="3" spans="1:33" ht="14.45" customHeight="1" x14ac:dyDescent="0.65"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</row>
    <row r="4" spans="1:33" ht="14.45" customHeight="1" x14ac:dyDescent="0.65"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</row>
    <row r="5" spans="1:33" ht="21" customHeight="1" x14ac:dyDescent="0.45"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</row>
    <row r="6" spans="1:33" ht="14.45" customHeight="1" x14ac:dyDescent="0.45">
      <c r="F6" s="1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</row>
    <row r="7" spans="1:33" ht="22.5" x14ac:dyDescent="0.25">
      <c r="A7" s="96" t="s">
        <v>54</v>
      </c>
      <c r="B7" s="97"/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97"/>
      <c r="AC7" s="97"/>
      <c r="AD7" s="97"/>
      <c r="AE7" s="97"/>
      <c r="AF7" s="97"/>
      <c r="AG7" s="97"/>
    </row>
    <row r="8" spans="1:33" ht="15.75" thickBot="1" x14ac:dyDescent="0.3"/>
    <row r="9" spans="1:33" ht="15.75" thickBot="1" x14ac:dyDescent="0.3">
      <c r="A9" s="2" t="s">
        <v>0</v>
      </c>
      <c r="B9" s="79" t="s">
        <v>48</v>
      </c>
      <c r="C9" s="80"/>
      <c r="D9" s="80"/>
      <c r="E9" s="80"/>
      <c r="F9" s="80"/>
      <c r="G9" s="80"/>
      <c r="H9" s="80"/>
      <c r="I9" s="81"/>
      <c r="J9" s="3"/>
      <c r="K9" s="98" t="s">
        <v>1</v>
      </c>
      <c r="L9" s="99"/>
      <c r="M9" s="99"/>
      <c r="N9" s="99"/>
      <c r="O9" s="100"/>
      <c r="P9" s="85">
        <v>116</v>
      </c>
      <c r="Q9" s="86"/>
      <c r="R9" s="86"/>
      <c r="S9" s="86"/>
      <c r="T9" s="86"/>
      <c r="U9" s="86"/>
      <c r="V9" s="87"/>
      <c r="W9" s="3"/>
      <c r="X9" s="98" t="s">
        <v>2</v>
      </c>
      <c r="Y9" s="99"/>
      <c r="Z9" s="99"/>
      <c r="AA9" s="99"/>
      <c r="AB9" s="100"/>
      <c r="AC9" s="101"/>
      <c r="AD9" s="102"/>
      <c r="AE9" s="102"/>
      <c r="AF9" s="102"/>
      <c r="AG9" s="103"/>
    </row>
    <row r="10" spans="1:33" ht="15.75" thickBot="1" x14ac:dyDescent="0.3">
      <c r="A10" s="4" t="s">
        <v>3</v>
      </c>
      <c r="B10" s="79">
        <v>2584349597</v>
      </c>
      <c r="C10" s="80"/>
      <c r="D10" s="80"/>
      <c r="E10" s="80"/>
      <c r="F10" s="80"/>
      <c r="G10" s="80"/>
      <c r="H10" s="80"/>
      <c r="I10" s="81"/>
      <c r="J10" s="3"/>
      <c r="K10" s="82" t="s">
        <v>4</v>
      </c>
      <c r="L10" s="83"/>
      <c r="M10" s="83"/>
      <c r="N10" s="83"/>
      <c r="O10" s="84"/>
      <c r="P10" s="85" t="s">
        <v>42</v>
      </c>
      <c r="Q10" s="86"/>
      <c r="R10" s="86"/>
      <c r="S10" s="86"/>
      <c r="T10" s="86"/>
      <c r="U10" s="86"/>
      <c r="V10" s="87"/>
      <c r="W10" s="3"/>
      <c r="X10" s="82" t="s">
        <v>5</v>
      </c>
      <c r="Y10" s="83"/>
      <c r="Z10" s="83"/>
      <c r="AA10" s="83"/>
      <c r="AB10" s="84"/>
      <c r="AC10" s="85"/>
      <c r="AD10" s="86"/>
      <c r="AE10" s="86"/>
      <c r="AF10" s="86"/>
      <c r="AG10" s="87"/>
    </row>
    <row r="11" spans="1:33" ht="15.75" thickBot="1" x14ac:dyDescent="0.3"/>
    <row r="12" spans="1:33" ht="16.5" thickBot="1" x14ac:dyDescent="0.3">
      <c r="A12" s="5" t="s">
        <v>6</v>
      </c>
      <c r="B12" s="12">
        <f>DATA!$I$4</f>
        <v>46023</v>
      </c>
      <c r="C12" s="12">
        <f>IF(B12&lt;DATA!$C$4,B12+1,"")</f>
        <v>46024</v>
      </c>
      <c r="D12" s="12">
        <f>IF(C12&lt;DATA!$C$4,C12+1,"")</f>
        <v>46025</v>
      </c>
      <c r="E12" s="12">
        <f>IF(D12&lt;DATA!$C$4,D12+1,"")</f>
        <v>46026</v>
      </c>
      <c r="F12" s="12">
        <f>IF(E12&lt;DATA!$C$4,E12+1,"")</f>
        <v>46027</v>
      </c>
      <c r="G12" s="12">
        <f>IF(F12&lt;DATA!$C$4,F12+1,"")</f>
        <v>46028</v>
      </c>
      <c r="H12" s="12">
        <f>IF(G12&lt;DATA!$C$4,G12+1,"")</f>
        <v>46029</v>
      </c>
      <c r="I12" s="12">
        <f>IF(H12&lt;DATA!$C$4,H12+1,"")</f>
        <v>46030</v>
      </c>
      <c r="J12" s="12">
        <f>IF(I12&lt;DATA!$C$4,I12+1,"")</f>
        <v>46031</v>
      </c>
      <c r="K12" s="12">
        <f>IF(J12&lt;DATA!$C$4,J12+1,"")</f>
        <v>46032</v>
      </c>
      <c r="L12" s="12">
        <f>IF(K12&lt;DATA!$C$4,K12+1,"")</f>
        <v>46033</v>
      </c>
      <c r="M12" s="12">
        <f>IF(L12&lt;DATA!$C$4,L12+1,"")</f>
        <v>46034</v>
      </c>
      <c r="N12" s="12">
        <f>IF(M12&lt;DATA!$C$4,M12+1,"")</f>
        <v>46035</v>
      </c>
      <c r="O12" s="12">
        <f>IF(N12&lt;DATA!$C$4,N12+1,"")</f>
        <v>46036</v>
      </c>
      <c r="P12" s="12">
        <f>IF(O12&lt;DATA!$C$4,O12+1,"")</f>
        <v>46037</v>
      </c>
      <c r="Q12" s="12">
        <f>IF(P12&lt;DATA!$C$4,P12+1,"")</f>
        <v>46038</v>
      </c>
      <c r="R12" s="12">
        <f>IF(Q12&lt;DATA!$C$4,Q12+1,"")</f>
        <v>46039</v>
      </c>
      <c r="S12" s="12">
        <f>IF(R12&lt;DATA!$C$4,R12+1,"")</f>
        <v>46040</v>
      </c>
      <c r="T12" s="12">
        <f>IF(S12&lt;DATA!$C$4,S12+1,"")</f>
        <v>46041</v>
      </c>
      <c r="U12" s="12">
        <f>IF(T12&lt;DATA!$C$4,T12+1,"")</f>
        <v>46042</v>
      </c>
      <c r="V12" s="12">
        <f>IF(U12&lt;DATA!$C$4,U12+1,"")</f>
        <v>46043</v>
      </c>
      <c r="W12" s="12">
        <f>IF(V12&lt;DATA!$C$4,V12+1,"")</f>
        <v>46044</v>
      </c>
      <c r="X12" s="12">
        <f>IF(W12&lt;DATA!$C$4,W12+1,"")</f>
        <v>46045</v>
      </c>
      <c r="Y12" s="12">
        <f>IF(X12&lt;DATA!$C$4,X12+1,"")</f>
        <v>46046</v>
      </c>
      <c r="Z12" s="12">
        <f>IF(Y12&lt;DATA!$C$4,Y12+1,"")</f>
        <v>46047</v>
      </c>
      <c r="AA12" s="12">
        <f>IF(Z12&lt;DATA!$C$4,Z12+1,"")</f>
        <v>46048</v>
      </c>
      <c r="AB12" s="12">
        <f>IF(AA12&lt;DATA!$C$4,AA12+1,"")</f>
        <v>46049</v>
      </c>
      <c r="AC12" s="12">
        <f>IF(AB12&lt;DATA!$C$4,AB12+1,"")</f>
        <v>46050</v>
      </c>
      <c r="AD12" s="12">
        <f>IF(AC12&lt;DATA!$C$4,AC12+1,"")</f>
        <v>46051</v>
      </c>
      <c r="AE12" s="12">
        <f>IF(AD12&lt;DATA!$C$4,AD12+1,"")</f>
        <v>46052</v>
      </c>
      <c r="AF12" s="12">
        <f>IF(AE12&lt;DATA!$C$4,AE12+1,"")</f>
        <v>46053</v>
      </c>
      <c r="AG12" s="88" t="s">
        <v>7</v>
      </c>
    </row>
    <row r="13" spans="1:33" ht="16.5" thickBot="1" x14ac:dyDescent="0.3">
      <c r="A13" s="5" t="s">
        <v>8</v>
      </c>
      <c r="B13" s="11" t="str">
        <f t="shared" ref="B13:AF13" si="0">TEXT(B12,"ddd")</f>
        <v>Thu</v>
      </c>
      <c r="C13" s="11" t="str">
        <f t="shared" si="0"/>
        <v>Fri</v>
      </c>
      <c r="D13" s="11" t="str">
        <f t="shared" si="0"/>
        <v>Sat</v>
      </c>
      <c r="E13" s="11" t="str">
        <f t="shared" si="0"/>
        <v>Sun</v>
      </c>
      <c r="F13" s="11" t="str">
        <f t="shared" si="0"/>
        <v>Mon</v>
      </c>
      <c r="G13" s="11" t="str">
        <f t="shared" si="0"/>
        <v>Tue</v>
      </c>
      <c r="H13" s="11" t="str">
        <f t="shared" si="0"/>
        <v>Wed</v>
      </c>
      <c r="I13" s="11" t="str">
        <f t="shared" si="0"/>
        <v>Thu</v>
      </c>
      <c r="J13" s="11" t="str">
        <f t="shared" si="0"/>
        <v>Fri</v>
      </c>
      <c r="K13" s="11" t="str">
        <f t="shared" si="0"/>
        <v>Sat</v>
      </c>
      <c r="L13" s="11" t="str">
        <f t="shared" si="0"/>
        <v>Sun</v>
      </c>
      <c r="M13" s="11" t="str">
        <f t="shared" si="0"/>
        <v>Mon</v>
      </c>
      <c r="N13" s="11" t="str">
        <f t="shared" si="0"/>
        <v>Tue</v>
      </c>
      <c r="O13" s="11" t="str">
        <f t="shared" si="0"/>
        <v>Wed</v>
      </c>
      <c r="P13" s="11" t="str">
        <f t="shared" si="0"/>
        <v>Thu</v>
      </c>
      <c r="Q13" s="11" t="str">
        <f t="shared" si="0"/>
        <v>Fri</v>
      </c>
      <c r="R13" s="11" t="str">
        <f t="shared" si="0"/>
        <v>Sat</v>
      </c>
      <c r="S13" s="11" t="str">
        <f t="shared" si="0"/>
        <v>Sun</v>
      </c>
      <c r="T13" s="11" t="str">
        <f t="shared" si="0"/>
        <v>Mon</v>
      </c>
      <c r="U13" s="11" t="str">
        <f t="shared" si="0"/>
        <v>Tue</v>
      </c>
      <c r="V13" s="11" t="str">
        <f t="shared" si="0"/>
        <v>Wed</v>
      </c>
      <c r="W13" s="11" t="str">
        <f t="shared" si="0"/>
        <v>Thu</v>
      </c>
      <c r="X13" s="11" t="str">
        <f t="shared" si="0"/>
        <v>Fri</v>
      </c>
      <c r="Y13" s="11" t="str">
        <f t="shared" si="0"/>
        <v>Sat</v>
      </c>
      <c r="Z13" s="11" t="str">
        <f t="shared" si="0"/>
        <v>Sun</v>
      </c>
      <c r="AA13" s="11" t="str">
        <f t="shared" si="0"/>
        <v>Mon</v>
      </c>
      <c r="AB13" s="11" t="str">
        <f t="shared" si="0"/>
        <v>Tue</v>
      </c>
      <c r="AC13" s="11" t="str">
        <f t="shared" si="0"/>
        <v>Wed</v>
      </c>
      <c r="AD13" s="11" t="str">
        <f t="shared" si="0"/>
        <v>Thu</v>
      </c>
      <c r="AE13" s="11" t="str">
        <f t="shared" si="0"/>
        <v>Fri</v>
      </c>
      <c r="AF13" s="11" t="str">
        <f t="shared" si="0"/>
        <v>Sat</v>
      </c>
      <c r="AG13" s="89"/>
    </row>
    <row r="14" spans="1:33" ht="16.5" thickBot="1" x14ac:dyDescent="0.3">
      <c r="A14" s="6" t="s">
        <v>9</v>
      </c>
      <c r="B14" s="13">
        <v>8</v>
      </c>
      <c r="C14" s="13"/>
      <c r="D14" s="13">
        <v>8</v>
      </c>
      <c r="E14" s="13">
        <v>8</v>
      </c>
      <c r="F14" s="13">
        <v>8</v>
      </c>
      <c r="G14" s="13">
        <v>8</v>
      </c>
      <c r="H14" s="13">
        <v>8</v>
      </c>
      <c r="I14" s="13">
        <v>8</v>
      </c>
      <c r="J14" s="13"/>
      <c r="K14" s="13">
        <v>8</v>
      </c>
      <c r="L14" s="13">
        <v>8</v>
      </c>
      <c r="M14" s="13">
        <v>8</v>
      </c>
      <c r="N14" s="13">
        <v>8</v>
      </c>
      <c r="O14" s="13">
        <v>8</v>
      </c>
      <c r="P14" s="13">
        <v>8</v>
      </c>
      <c r="Q14" s="13"/>
      <c r="R14" s="13">
        <v>8</v>
      </c>
      <c r="S14" s="13">
        <v>8</v>
      </c>
      <c r="T14" s="13">
        <v>8</v>
      </c>
      <c r="U14" s="13">
        <v>8</v>
      </c>
      <c r="V14" s="13">
        <v>8</v>
      </c>
      <c r="W14" s="13">
        <v>8</v>
      </c>
      <c r="X14" s="13"/>
      <c r="Y14" s="13">
        <v>8</v>
      </c>
      <c r="Z14" s="13">
        <v>8</v>
      </c>
      <c r="AA14" s="13">
        <v>8</v>
      </c>
      <c r="AB14" s="13">
        <v>8</v>
      </c>
      <c r="AC14" s="13">
        <v>8</v>
      </c>
      <c r="AD14" s="13">
        <v>8</v>
      </c>
      <c r="AE14" s="13"/>
      <c r="AF14" s="13"/>
      <c r="AG14" s="5">
        <f>SUM(B14:AF14)</f>
        <v>200</v>
      </c>
    </row>
    <row r="15" spans="1:33" ht="16.5" thickBot="1" x14ac:dyDescent="0.3">
      <c r="A15" s="7" t="s">
        <v>10</v>
      </c>
      <c r="B15" s="13">
        <v>3</v>
      </c>
      <c r="C15" s="13">
        <v>10</v>
      </c>
      <c r="D15" s="13">
        <v>6</v>
      </c>
      <c r="E15" s="13">
        <v>3</v>
      </c>
      <c r="F15" s="13">
        <v>3</v>
      </c>
      <c r="G15" s="13">
        <v>3</v>
      </c>
      <c r="H15" s="27">
        <v>3</v>
      </c>
      <c r="I15" s="13">
        <v>3</v>
      </c>
      <c r="J15" s="13"/>
      <c r="K15" s="13">
        <v>4</v>
      </c>
      <c r="L15" s="13">
        <v>3</v>
      </c>
      <c r="M15" s="13">
        <v>7</v>
      </c>
      <c r="N15" s="13">
        <v>3</v>
      </c>
      <c r="O15" s="27">
        <v>5</v>
      </c>
      <c r="P15" s="13">
        <v>3</v>
      </c>
      <c r="Q15" s="13"/>
      <c r="R15" s="13">
        <v>3</v>
      </c>
      <c r="S15" s="13">
        <v>3</v>
      </c>
      <c r="T15" s="13">
        <v>3</v>
      </c>
      <c r="U15" s="13">
        <v>2</v>
      </c>
      <c r="V15" s="13">
        <v>2</v>
      </c>
      <c r="W15" s="13">
        <v>2</v>
      </c>
      <c r="X15" s="13"/>
      <c r="Y15" s="13">
        <v>3</v>
      </c>
      <c r="Z15" s="13">
        <v>3</v>
      </c>
      <c r="AA15" s="13">
        <v>3</v>
      </c>
      <c r="AB15" s="13">
        <v>3</v>
      </c>
      <c r="AC15" s="13">
        <v>3</v>
      </c>
      <c r="AD15" s="13">
        <v>3</v>
      </c>
      <c r="AE15" s="13">
        <v>10</v>
      </c>
      <c r="AF15" s="13"/>
      <c r="AG15" s="8">
        <f>SUM(B15:AF15)</f>
        <v>102</v>
      </c>
    </row>
    <row r="16" spans="1:33" ht="15.75" thickBot="1" x14ac:dyDescent="0.3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6.5" thickBot="1" x14ac:dyDescent="0.3">
      <c r="A17" s="1"/>
      <c r="B17" s="90" t="s">
        <v>11</v>
      </c>
      <c r="C17" s="91"/>
      <c r="D17" s="91"/>
      <c r="E17" s="91"/>
      <c r="F17" s="92"/>
      <c r="G17" s="90">
        <f>COUNTIF(B14:AF14,"A")</f>
        <v>0</v>
      </c>
      <c r="H17" s="91"/>
      <c r="I17" s="92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90" t="s">
        <v>12</v>
      </c>
      <c r="V17" s="91"/>
      <c r="W17" s="91"/>
      <c r="X17" s="91"/>
      <c r="Y17" s="91"/>
      <c r="Z17" s="92"/>
      <c r="AA17" s="90">
        <f>AG14+AG15</f>
        <v>302</v>
      </c>
      <c r="AB17" s="91"/>
      <c r="AC17" s="91"/>
      <c r="AD17" s="92"/>
      <c r="AE17" s="1"/>
      <c r="AF17" s="1"/>
      <c r="AG17" s="1"/>
    </row>
    <row r="18" spans="1:33" ht="15.75" thickBo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9.5" thickBot="1" x14ac:dyDescent="0.35">
      <c r="A19" s="93" t="s">
        <v>13</v>
      </c>
      <c r="B19" s="94"/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4"/>
      <c r="AB19" s="94"/>
      <c r="AC19" s="94"/>
      <c r="AD19" s="94"/>
      <c r="AE19" s="94"/>
      <c r="AF19" s="94"/>
      <c r="AG19" s="95"/>
    </row>
    <row r="20" spans="1:33" ht="19.5" thickBot="1" x14ac:dyDescent="0.35">
      <c r="A20" s="76" t="s">
        <v>14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8"/>
      <c r="Q20" s="76" t="s">
        <v>15</v>
      </c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77"/>
      <c r="AD20" s="77"/>
      <c r="AE20" s="77"/>
      <c r="AF20" s="77"/>
      <c r="AG20" s="78"/>
    </row>
    <row r="21" spans="1:33" x14ac:dyDescent="0.25">
      <c r="A21" s="65" t="s">
        <v>16</v>
      </c>
      <c r="B21" s="66"/>
      <c r="C21" s="66"/>
      <c r="D21" s="66"/>
      <c r="E21" s="67"/>
      <c r="F21" s="68">
        <v>1400</v>
      </c>
      <c r="G21" s="69"/>
      <c r="H21" s="69"/>
      <c r="I21" s="69"/>
      <c r="J21" s="69"/>
      <c r="K21" s="69"/>
      <c r="L21" s="69"/>
      <c r="M21" s="69"/>
      <c r="N21" s="69"/>
      <c r="O21" s="69"/>
      <c r="P21" s="70"/>
      <c r="Q21" s="65" t="s">
        <v>17</v>
      </c>
      <c r="R21" s="66"/>
      <c r="S21" s="66"/>
      <c r="T21" s="66"/>
      <c r="U21" s="66"/>
      <c r="V21" s="66"/>
      <c r="W21" s="66"/>
      <c r="X21" s="66"/>
      <c r="Y21" s="66"/>
      <c r="Z21" s="67"/>
      <c r="AA21" s="71">
        <f>F21/30*G17*2</f>
        <v>0</v>
      </c>
      <c r="AB21" s="71"/>
      <c r="AC21" s="71"/>
      <c r="AD21" s="71"/>
      <c r="AE21" s="71"/>
      <c r="AF21" s="71"/>
      <c r="AG21" s="72"/>
    </row>
    <row r="22" spans="1:33" x14ac:dyDescent="0.25">
      <c r="A22" s="49" t="s">
        <v>18</v>
      </c>
      <c r="B22" s="50"/>
      <c r="C22" s="50"/>
      <c r="D22" s="50"/>
      <c r="E22" s="51"/>
      <c r="F22" s="52">
        <v>0</v>
      </c>
      <c r="G22" s="53"/>
      <c r="H22" s="53"/>
      <c r="I22" s="53"/>
      <c r="J22" s="53"/>
      <c r="K22" s="53"/>
      <c r="L22" s="53"/>
      <c r="M22" s="53"/>
      <c r="N22" s="53"/>
      <c r="O22" s="53"/>
      <c r="P22" s="54"/>
      <c r="Q22" s="73" t="s">
        <v>19</v>
      </c>
      <c r="R22" s="74"/>
      <c r="S22" s="74"/>
      <c r="T22" s="74"/>
      <c r="U22" s="74"/>
      <c r="V22" s="74"/>
      <c r="W22" s="74"/>
      <c r="X22" s="74"/>
      <c r="Y22" s="74"/>
      <c r="Z22" s="75"/>
      <c r="AA22" s="55">
        <v>0</v>
      </c>
      <c r="AB22" s="55"/>
      <c r="AC22" s="55"/>
      <c r="AD22" s="55"/>
      <c r="AE22" s="55"/>
      <c r="AF22" s="55"/>
      <c r="AG22" s="56"/>
    </row>
    <row r="23" spans="1:33" x14ac:dyDescent="0.25">
      <c r="A23" s="49" t="s">
        <v>10</v>
      </c>
      <c r="B23" s="50"/>
      <c r="C23" s="50"/>
      <c r="D23" s="50"/>
      <c r="E23" s="51"/>
      <c r="F23" s="52">
        <f>F21/30/8*1.5*AG15</f>
        <v>892.5</v>
      </c>
      <c r="G23" s="53"/>
      <c r="H23" s="53"/>
      <c r="I23" s="53"/>
      <c r="J23" s="53"/>
      <c r="K23" s="53"/>
      <c r="L23" s="53"/>
      <c r="M23" s="53"/>
      <c r="N23" s="53"/>
      <c r="O23" s="53"/>
      <c r="P23" s="54"/>
      <c r="Q23" s="49" t="s">
        <v>20</v>
      </c>
      <c r="R23" s="50"/>
      <c r="S23" s="50"/>
      <c r="T23" s="50"/>
      <c r="U23" s="50"/>
      <c r="V23" s="50"/>
      <c r="W23" s="50"/>
      <c r="X23" s="50"/>
      <c r="Y23" s="50"/>
      <c r="Z23" s="51"/>
      <c r="AA23" s="55">
        <v>0</v>
      </c>
      <c r="AB23" s="55"/>
      <c r="AC23" s="55"/>
      <c r="AD23" s="55"/>
      <c r="AE23" s="55"/>
      <c r="AF23" s="55"/>
      <c r="AG23" s="56"/>
    </row>
    <row r="24" spans="1:33" ht="15.75" thickBot="1" x14ac:dyDescent="0.3">
      <c r="A24" s="57" t="s">
        <v>21</v>
      </c>
      <c r="B24" s="58"/>
      <c r="C24" s="58"/>
      <c r="D24" s="58"/>
      <c r="E24" s="59"/>
      <c r="F24" s="60">
        <f>SUM(F21:P23)</f>
        <v>2292.5</v>
      </c>
      <c r="G24" s="61"/>
      <c r="H24" s="61"/>
      <c r="I24" s="61"/>
      <c r="J24" s="61"/>
      <c r="K24" s="61"/>
      <c r="L24" s="61"/>
      <c r="M24" s="61"/>
      <c r="N24" s="61"/>
      <c r="O24" s="61"/>
      <c r="P24" s="62"/>
      <c r="Q24" s="57" t="s">
        <v>21</v>
      </c>
      <c r="R24" s="58"/>
      <c r="S24" s="58"/>
      <c r="T24" s="58"/>
      <c r="U24" s="58"/>
      <c r="V24" s="58"/>
      <c r="W24" s="58"/>
      <c r="X24" s="58"/>
      <c r="Y24" s="58"/>
      <c r="Z24" s="59"/>
      <c r="AA24" s="63">
        <f>SUM(AA21:AG23)</f>
        <v>0</v>
      </c>
      <c r="AB24" s="63"/>
      <c r="AC24" s="63"/>
      <c r="AD24" s="63"/>
      <c r="AE24" s="63"/>
      <c r="AF24" s="63"/>
      <c r="AG24" s="64"/>
    </row>
    <row r="25" spans="1:33" ht="15.75" thickBo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21.75" thickBot="1" x14ac:dyDescent="0.3">
      <c r="A26" s="9"/>
      <c r="B26" s="9"/>
      <c r="C26" s="9"/>
      <c r="D26" s="9"/>
      <c r="E26" s="44" t="s">
        <v>22</v>
      </c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6"/>
      <c r="S26" s="47">
        <f>F24-AA24</f>
        <v>2292.5</v>
      </c>
      <c r="T26" s="45"/>
      <c r="U26" s="45"/>
      <c r="V26" s="45"/>
      <c r="W26" s="45"/>
      <c r="X26" s="45"/>
      <c r="Y26" s="45"/>
      <c r="Z26" s="46"/>
      <c r="AA26" s="10"/>
      <c r="AB26" s="10"/>
      <c r="AC26" s="10"/>
      <c r="AD26" s="10"/>
      <c r="AE26" s="10"/>
      <c r="AF26" s="10"/>
      <c r="AG26" s="10"/>
    </row>
    <row r="36" spans="2:28" ht="18.75" x14ac:dyDescent="0.3">
      <c r="B36" s="48" t="s">
        <v>23</v>
      </c>
      <c r="C36" s="48"/>
      <c r="D36" s="48"/>
      <c r="E36" s="48"/>
      <c r="F36" s="48"/>
      <c r="G36" s="48"/>
      <c r="H36" s="48"/>
      <c r="V36" s="48" t="s">
        <v>24</v>
      </c>
      <c r="W36" s="48"/>
      <c r="X36" s="48"/>
      <c r="Y36" s="48"/>
      <c r="Z36" s="48"/>
      <c r="AA36" s="48"/>
      <c r="AB36" s="48"/>
    </row>
  </sheetData>
  <mergeCells count="39">
    <mergeCell ref="A7:AG7"/>
    <mergeCell ref="B9:I9"/>
    <mergeCell ref="K9:O9"/>
    <mergeCell ref="P9:V9"/>
    <mergeCell ref="X9:AB9"/>
    <mergeCell ref="AC9:AG9"/>
    <mergeCell ref="A20:P20"/>
    <mergeCell ref="Q20:AG20"/>
    <mergeCell ref="B10:I10"/>
    <mergeCell ref="K10:O10"/>
    <mergeCell ref="P10:V10"/>
    <mergeCell ref="X10:AB10"/>
    <mergeCell ref="AC10:AG10"/>
    <mergeCell ref="AG12:AG13"/>
    <mergeCell ref="B17:F17"/>
    <mergeCell ref="G17:I17"/>
    <mergeCell ref="U17:Z17"/>
    <mergeCell ref="AA17:AD17"/>
    <mergeCell ref="A19:AG19"/>
    <mergeCell ref="A21:E21"/>
    <mergeCell ref="F21:P21"/>
    <mergeCell ref="Q21:Z21"/>
    <mergeCell ref="AA21:AG21"/>
    <mergeCell ref="A22:E22"/>
    <mergeCell ref="F22:P22"/>
    <mergeCell ref="Q22:Z22"/>
    <mergeCell ref="AA22:AG22"/>
    <mergeCell ref="E26:R26"/>
    <mergeCell ref="S26:Z26"/>
    <mergeCell ref="B36:H36"/>
    <mergeCell ref="V36:AB36"/>
    <mergeCell ref="A23:E23"/>
    <mergeCell ref="F23:P23"/>
    <mergeCell ref="Q23:Z23"/>
    <mergeCell ref="AA23:AG23"/>
    <mergeCell ref="A24:E24"/>
    <mergeCell ref="F24:P24"/>
    <mergeCell ref="Q24:Z24"/>
    <mergeCell ref="AA24:AG24"/>
  </mergeCells>
  <phoneticPr fontId="9" type="noConversion"/>
  <conditionalFormatting sqref="B14:AF14">
    <cfRule type="containsText" dxfId="20" priority="1" operator="containsText" text="H">
      <formula>NOT(ISERROR(SEARCH("H",B14)))</formula>
    </cfRule>
  </conditionalFormatting>
  <conditionalFormatting sqref="B14:AF15">
    <cfRule type="containsText" dxfId="19" priority="2" operator="containsText" text="M">
      <formula>NOT(ISERROR(SEARCH("M",B14)))</formula>
    </cfRule>
    <cfRule type="expression" dxfId="18" priority="3">
      <formula>B$13="Fri"</formula>
    </cfRule>
    <cfRule type="containsText" dxfId="17" priority="4" operator="containsText" text="A">
      <formula>NOT(ISERROR(SEARCH("A",B14)))</formula>
    </cfRule>
  </conditionalFormatting>
  <conditionalFormatting sqref="F24:P24">
    <cfRule type="expression" dxfId="16" priority="9">
      <formula>B$13="Fri"</formula>
    </cfRule>
  </conditionalFormatting>
  <dataValidations count="1">
    <dataValidation errorStyle="information" allowBlank="1" showInputMessage="1" showErrorMessage="1" sqref="K13" xr:uid="{6C466389-1330-4E34-A249-EC0019710744}"/>
  </dataValidations>
  <pageMargins left="0.7" right="0.7" top="0.75" bottom="0.75" header="0.3" footer="0.3"/>
  <pageSetup paperSize="9" scale="80" orientation="landscape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information" allowBlank="1" showInputMessage="1" xr:uid="{421B72F2-CFD7-4AE0-9DF3-B2CC4FD0608B}">
          <x14:formula1>
            <xm:f>DATA!$A$3:$A$13</xm:f>
          </x14:formula1>
          <xm:sqref>A7:AG7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91E76-D878-4818-ACA1-E6A5504CC72C}">
  <sheetPr>
    <pageSetUpPr fitToPage="1"/>
  </sheetPr>
  <dimension ref="A1:AG36"/>
  <sheetViews>
    <sheetView workbookViewId="0">
      <selection activeCell="A7" sqref="A7:AG7"/>
    </sheetView>
  </sheetViews>
  <sheetFormatPr defaultRowHeight="15" x14ac:dyDescent="0.25"/>
  <cols>
    <col min="1" max="1" width="16.5703125" bestFit="1" customWidth="1"/>
    <col min="2" max="2" width="4.7109375" bestFit="1" customWidth="1"/>
    <col min="3" max="3" width="4.5703125" bestFit="1" customWidth="1"/>
    <col min="4" max="4" width="5.28515625" bestFit="1" customWidth="1"/>
    <col min="5" max="5" width="4.7109375" bestFit="1" customWidth="1"/>
    <col min="6" max="6" width="5.140625" bestFit="1" customWidth="1"/>
    <col min="7" max="7" width="4.42578125" bestFit="1" customWidth="1"/>
    <col min="8" max="8" width="5.42578125" bestFit="1" customWidth="1"/>
    <col min="9" max="9" width="4" bestFit="1" customWidth="1"/>
    <col min="10" max="10" width="4.5703125" bestFit="1" customWidth="1"/>
    <col min="11" max="11" width="5.28515625" bestFit="1" customWidth="1"/>
    <col min="12" max="12" width="4.140625" bestFit="1" customWidth="1"/>
    <col min="13" max="13" width="5.140625" bestFit="1" customWidth="1"/>
    <col min="14" max="14" width="4.42578125" bestFit="1" customWidth="1"/>
    <col min="15" max="15" width="5.42578125" bestFit="1" customWidth="1"/>
    <col min="16" max="16" width="4" bestFit="1" customWidth="1"/>
    <col min="17" max="17" width="4.5703125" bestFit="1" customWidth="1"/>
    <col min="18" max="18" width="5.28515625" bestFit="1" customWidth="1"/>
    <col min="19" max="19" width="4.140625" bestFit="1" customWidth="1"/>
    <col min="20" max="20" width="5.140625" bestFit="1" customWidth="1"/>
    <col min="21" max="21" width="4.42578125" bestFit="1" customWidth="1"/>
    <col min="22" max="22" width="3.7109375" bestFit="1" customWidth="1"/>
    <col min="23" max="23" width="4" bestFit="1" customWidth="1"/>
    <col min="24" max="24" width="4.5703125" bestFit="1" customWidth="1"/>
    <col min="25" max="25" width="5.28515625" bestFit="1" customWidth="1"/>
    <col min="26" max="26" width="4.5703125" bestFit="1" customWidth="1"/>
    <col min="27" max="27" width="5.140625" bestFit="1" customWidth="1"/>
    <col min="28" max="28" width="4.42578125" bestFit="1" customWidth="1"/>
    <col min="29" max="29" width="3.7109375" bestFit="1" customWidth="1"/>
    <col min="30" max="30" width="4" bestFit="1" customWidth="1"/>
    <col min="31" max="31" width="4.5703125" bestFit="1" customWidth="1"/>
    <col min="32" max="32" width="5.28515625" bestFit="1" customWidth="1"/>
    <col min="33" max="33" width="7.7109375" bestFit="1" customWidth="1"/>
  </cols>
  <sheetData>
    <row r="1" spans="1:33" ht="14.45" customHeight="1" x14ac:dyDescent="0.65"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</row>
    <row r="2" spans="1:33" ht="14.45" customHeight="1" x14ac:dyDescent="0.65"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</row>
    <row r="3" spans="1:33" ht="14.45" customHeight="1" x14ac:dyDescent="0.65"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</row>
    <row r="4" spans="1:33" ht="14.45" customHeight="1" x14ac:dyDescent="0.65"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</row>
    <row r="5" spans="1:33" ht="21" customHeight="1" x14ac:dyDescent="0.45"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</row>
    <row r="6" spans="1:33" ht="14.45" customHeight="1" x14ac:dyDescent="0.45">
      <c r="F6" s="1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</row>
    <row r="7" spans="1:33" ht="22.5" x14ac:dyDescent="0.25">
      <c r="A7" s="96" t="s">
        <v>54</v>
      </c>
      <c r="B7" s="97"/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97"/>
      <c r="AC7" s="97"/>
      <c r="AD7" s="97"/>
      <c r="AE7" s="97"/>
      <c r="AF7" s="97"/>
      <c r="AG7" s="97"/>
    </row>
    <row r="8" spans="1:33" ht="15.75" thickBot="1" x14ac:dyDescent="0.3"/>
    <row r="9" spans="1:33" ht="15.75" thickBot="1" x14ac:dyDescent="0.3">
      <c r="A9" s="2" t="s">
        <v>0</v>
      </c>
      <c r="B9" s="79" t="s">
        <v>50</v>
      </c>
      <c r="C9" s="80"/>
      <c r="D9" s="80"/>
      <c r="E9" s="80"/>
      <c r="F9" s="80"/>
      <c r="G9" s="80"/>
      <c r="H9" s="80"/>
      <c r="I9" s="81"/>
      <c r="J9" s="3"/>
      <c r="K9" s="98" t="s">
        <v>1</v>
      </c>
      <c r="L9" s="99"/>
      <c r="M9" s="99"/>
      <c r="N9" s="99"/>
      <c r="O9" s="100"/>
      <c r="P9" s="85"/>
      <c r="Q9" s="86"/>
      <c r="R9" s="86"/>
      <c r="S9" s="86"/>
      <c r="T9" s="86"/>
      <c r="U9" s="86"/>
      <c r="V9" s="87"/>
      <c r="W9" s="3"/>
      <c r="X9" s="98" t="s">
        <v>2</v>
      </c>
      <c r="Y9" s="99"/>
      <c r="Z9" s="99"/>
      <c r="AA9" s="99"/>
      <c r="AB9" s="100"/>
      <c r="AC9" s="101"/>
      <c r="AD9" s="102"/>
      <c r="AE9" s="102"/>
      <c r="AF9" s="102"/>
      <c r="AG9" s="103"/>
    </row>
    <row r="10" spans="1:33" ht="15.75" thickBot="1" x14ac:dyDescent="0.3">
      <c r="A10" s="4" t="s">
        <v>3</v>
      </c>
      <c r="B10" s="79">
        <v>2586507986</v>
      </c>
      <c r="C10" s="80"/>
      <c r="D10" s="80"/>
      <c r="E10" s="80"/>
      <c r="F10" s="80"/>
      <c r="G10" s="80"/>
      <c r="H10" s="80"/>
      <c r="I10" s="81"/>
      <c r="J10" s="3"/>
      <c r="K10" s="82" t="s">
        <v>4</v>
      </c>
      <c r="L10" s="83"/>
      <c r="M10" s="83"/>
      <c r="N10" s="83"/>
      <c r="O10" s="84"/>
      <c r="P10" s="85" t="s">
        <v>49</v>
      </c>
      <c r="Q10" s="86"/>
      <c r="R10" s="86"/>
      <c r="S10" s="86"/>
      <c r="T10" s="86"/>
      <c r="U10" s="86"/>
      <c r="V10" s="87"/>
      <c r="W10" s="3"/>
      <c r="X10" s="82" t="s">
        <v>5</v>
      </c>
      <c r="Y10" s="83"/>
      <c r="Z10" s="83"/>
      <c r="AA10" s="83"/>
      <c r="AB10" s="84"/>
      <c r="AC10" s="85"/>
      <c r="AD10" s="86"/>
      <c r="AE10" s="86"/>
      <c r="AF10" s="86"/>
      <c r="AG10" s="87"/>
    </row>
    <row r="11" spans="1:33" ht="15.75" thickBot="1" x14ac:dyDescent="0.3"/>
    <row r="12" spans="1:33" ht="16.5" thickBot="1" x14ac:dyDescent="0.3">
      <c r="A12" s="5" t="s">
        <v>6</v>
      </c>
      <c r="B12" s="12">
        <f>DATA!$I$4</f>
        <v>46023</v>
      </c>
      <c r="C12" s="12">
        <f>IF(B12&lt;DATA!$C$4,B12+1,"")</f>
        <v>46024</v>
      </c>
      <c r="D12" s="12">
        <f>IF(C12&lt;DATA!$C$4,C12+1,"")</f>
        <v>46025</v>
      </c>
      <c r="E12" s="12">
        <f>IF(D12&lt;DATA!$C$4,D12+1,"")</f>
        <v>46026</v>
      </c>
      <c r="F12" s="12">
        <f>IF(E12&lt;DATA!$C$4,E12+1,"")</f>
        <v>46027</v>
      </c>
      <c r="G12" s="12">
        <f>IF(F12&lt;DATA!$C$4,F12+1,"")</f>
        <v>46028</v>
      </c>
      <c r="H12" s="12">
        <f>IF(G12&lt;DATA!$C$4,G12+1,"")</f>
        <v>46029</v>
      </c>
      <c r="I12" s="12">
        <f>IF(H12&lt;DATA!$C$4,H12+1,"")</f>
        <v>46030</v>
      </c>
      <c r="J12" s="12">
        <f>IF(I12&lt;DATA!$C$4,I12+1,"")</f>
        <v>46031</v>
      </c>
      <c r="K12" s="12">
        <f>IF(J12&lt;DATA!$C$4,J12+1,"")</f>
        <v>46032</v>
      </c>
      <c r="L12" s="12">
        <f>IF(K12&lt;DATA!$C$4,K12+1,"")</f>
        <v>46033</v>
      </c>
      <c r="M12" s="12">
        <f>IF(L12&lt;DATA!$C$4,L12+1,"")</f>
        <v>46034</v>
      </c>
      <c r="N12" s="12">
        <f>IF(M12&lt;DATA!$C$4,M12+1,"")</f>
        <v>46035</v>
      </c>
      <c r="O12" s="12">
        <f>IF(N12&lt;DATA!$C$4,N12+1,"")</f>
        <v>46036</v>
      </c>
      <c r="P12" s="12">
        <f>IF(O12&lt;DATA!$C$4,O12+1,"")</f>
        <v>46037</v>
      </c>
      <c r="Q12" s="12">
        <f>IF(P12&lt;DATA!$C$4,P12+1,"")</f>
        <v>46038</v>
      </c>
      <c r="R12" s="12">
        <f>IF(Q12&lt;DATA!$C$4,Q12+1,"")</f>
        <v>46039</v>
      </c>
      <c r="S12" s="12">
        <f>IF(R12&lt;DATA!$C$4,R12+1,"")</f>
        <v>46040</v>
      </c>
      <c r="T12" s="12">
        <f>IF(S12&lt;DATA!$C$4,S12+1,"")</f>
        <v>46041</v>
      </c>
      <c r="U12" s="12">
        <f>IF(T12&lt;DATA!$C$4,T12+1,"")</f>
        <v>46042</v>
      </c>
      <c r="V12" s="12">
        <f>IF(U12&lt;DATA!$C$4,U12+1,"")</f>
        <v>46043</v>
      </c>
      <c r="W12" s="12">
        <f>IF(V12&lt;DATA!$C$4,V12+1,"")</f>
        <v>46044</v>
      </c>
      <c r="X12" s="12">
        <f>IF(W12&lt;DATA!$C$4,W12+1,"")</f>
        <v>46045</v>
      </c>
      <c r="Y12" s="12">
        <f>IF(X12&lt;DATA!$C$4,X12+1,"")</f>
        <v>46046</v>
      </c>
      <c r="Z12" s="12">
        <f>IF(Y12&lt;DATA!$C$4,Y12+1,"")</f>
        <v>46047</v>
      </c>
      <c r="AA12" s="12">
        <f>IF(Z12&lt;DATA!$C$4,Z12+1,"")</f>
        <v>46048</v>
      </c>
      <c r="AB12" s="12">
        <f>IF(AA12&lt;DATA!$C$4,AA12+1,"")</f>
        <v>46049</v>
      </c>
      <c r="AC12" s="12">
        <f>IF(AB12&lt;DATA!$C$4,AB12+1,"")</f>
        <v>46050</v>
      </c>
      <c r="AD12" s="12">
        <f>IF(AC12&lt;DATA!$C$4,AC12+1,"")</f>
        <v>46051</v>
      </c>
      <c r="AE12" s="12">
        <f>IF(AD12&lt;DATA!$C$4,AD12+1,"")</f>
        <v>46052</v>
      </c>
      <c r="AF12" s="12">
        <f>IF(AE12&lt;DATA!$C$4,AE12+1,"")</f>
        <v>46053</v>
      </c>
      <c r="AG12" s="88" t="s">
        <v>7</v>
      </c>
    </row>
    <row r="13" spans="1:33" ht="16.5" thickBot="1" x14ac:dyDescent="0.3">
      <c r="A13" s="5" t="s">
        <v>8</v>
      </c>
      <c r="B13" s="11" t="str">
        <f t="shared" ref="B13:AF13" si="0">TEXT(B12,"ddd")</f>
        <v>Thu</v>
      </c>
      <c r="C13" s="11" t="str">
        <f t="shared" si="0"/>
        <v>Fri</v>
      </c>
      <c r="D13" s="11" t="str">
        <f t="shared" si="0"/>
        <v>Sat</v>
      </c>
      <c r="E13" s="11" t="str">
        <f t="shared" si="0"/>
        <v>Sun</v>
      </c>
      <c r="F13" s="11" t="str">
        <f t="shared" si="0"/>
        <v>Mon</v>
      </c>
      <c r="G13" s="11" t="str">
        <f t="shared" si="0"/>
        <v>Tue</v>
      </c>
      <c r="H13" s="11" t="str">
        <f t="shared" si="0"/>
        <v>Wed</v>
      </c>
      <c r="I13" s="11" t="str">
        <f t="shared" si="0"/>
        <v>Thu</v>
      </c>
      <c r="J13" s="11" t="str">
        <f t="shared" si="0"/>
        <v>Fri</v>
      </c>
      <c r="K13" s="11" t="str">
        <f t="shared" si="0"/>
        <v>Sat</v>
      </c>
      <c r="L13" s="11" t="str">
        <f t="shared" si="0"/>
        <v>Sun</v>
      </c>
      <c r="M13" s="11" t="str">
        <f t="shared" si="0"/>
        <v>Mon</v>
      </c>
      <c r="N13" s="11" t="str">
        <f t="shared" si="0"/>
        <v>Tue</v>
      </c>
      <c r="O13" s="11" t="str">
        <f t="shared" si="0"/>
        <v>Wed</v>
      </c>
      <c r="P13" s="11" t="str">
        <f t="shared" si="0"/>
        <v>Thu</v>
      </c>
      <c r="Q13" s="11" t="str">
        <f t="shared" si="0"/>
        <v>Fri</v>
      </c>
      <c r="R13" s="11" t="str">
        <f t="shared" si="0"/>
        <v>Sat</v>
      </c>
      <c r="S13" s="11" t="str">
        <f t="shared" si="0"/>
        <v>Sun</v>
      </c>
      <c r="T13" s="11" t="str">
        <f t="shared" si="0"/>
        <v>Mon</v>
      </c>
      <c r="U13" s="11" t="str">
        <f t="shared" si="0"/>
        <v>Tue</v>
      </c>
      <c r="V13" s="11" t="str">
        <f t="shared" si="0"/>
        <v>Wed</v>
      </c>
      <c r="W13" s="11" t="str">
        <f t="shared" si="0"/>
        <v>Thu</v>
      </c>
      <c r="X13" s="11" t="str">
        <f t="shared" si="0"/>
        <v>Fri</v>
      </c>
      <c r="Y13" s="11" t="str">
        <f t="shared" si="0"/>
        <v>Sat</v>
      </c>
      <c r="Z13" s="11" t="str">
        <f t="shared" si="0"/>
        <v>Sun</v>
      </c>
      <c r="AA13" s="11" t="str">
        <f t="shared" si="0"/>
        <v>Mon</v>
      </c>
      <c r="AB13" s="11" t="str">
        <f t="shared" si="0"/>
        <v>Tue</v>
      </c>
      <c r="AC13" s="11" t="str">
        <f t="shared" si="0"/>
        <v>Wed</v>
      </c>
      <c r="AD13" s="11" t="str">
        <f t="shared" si="0"/>
        <v>Thu</v>
      </c>
      <c r="AE13" s="11" t="str">
        <f t="shared" si="0"/>
        <v>Fri</v>
      </c>
      <c r="AF13" s="11" t="str">
        <f t="shared" si="0"/>
        <v>Sat</v>
      </c>
      <c r="AG13" s="89"/>
    </row>
    <row r="14" spans="1:33" ht="16.5" thickBot="1" x14ac:dyDescent="0.3">
      <c r="A14" s="6" t="s">
        <v>9</v>
      </c>
      <c r="B14" s="13">
        <v>10</v>
      </c>
      <c r="C14" s="13">
        <v>10</v>
      </c>
      <c r="D14" s="13">
        <v>10</v>
      </c>
      <c r="E14" s="13">
        <v>10</v>
      </c>
      <c r="F14" s="13">
        <v>10</v>
      </c>
      <c r="G14" s="13"/>
      <c r="H14" s="13">
        <v>10</v>
      </c>
      <c r="I14" s="13">
        <v>10</v>
      </c>
      <c r="J14" s="13">
        <v>10</v>
      </c>
      <c r="K14" s="13">
        <v>10</v>
      </c>
      <c r="L14" s="13">
        <v>10</v>
      </c>
      <c r="M14" s="13">
        <v>10</v>
      </c>
      <c r="N14" s="13"/>
      <c r="O14" s="13">
        <v>10</v>
      </c>
      <c r="P14" s="13">
        <v>10</v>
      </c>
      <c r="Q14" s="13">
        <v>10</v>
      </c>
      <c r="R14" s="13">
        <v>10</v>
      </c>
      <c r="S14" s="13">
        <v>10</v>
      </c>
      <c r="T14" s="13">
        <v>10</v>
      </c>
      <c r="U14" s="13"/>
      <c r="V14" s="13">
        <v>10</v>
      </c>
      <c r="W14" s="13">
        <v>10</v>
      </c>
      <c r="X14" s="13">
        <v>10</v>
      </c>
      <c r="Y14" s="13">
        <v>10</v>
      </c>
      <c r="Z14" s="13">
        <v>10</v>
      </c>
      <c r="AA14" s="13">
        <v>10</v>
      </c>
      <c r="AB14" s="13"/>
      <c r="AC14" s="13">
        <v>10</v>
      </c>
      <c r="AD14" s="13">
        <v>10</v>
      </c>
      <c r="AE14" s="13">
        <v>10</v>
      </c>
      <c r="AF14" s="13"/>
      <c r="AG14" s="5">
        <f>SUM(B14:AF14)</f>
        <v>260</v>
      </c>
    </row>
    <row r="15" spans="1:33" ht="16.5" thickBot="1" x14ac:dyDescent="0.3">
      <c r="A15" s="7" t="s">
        <v>10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27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8">
        <f>SUM(B15:AF15)</f>
        <v>0</v>
      </c>
    </row>
    <row r="16" spans="1:33" ht="15.75" thickBot="1" x14ac:dyDescent="0.3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3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6.5" thickBot="1" x14ac:dyDescent="0.3">
      <c r="A17" s="1"/>
      <c r="B17" s="90" t="s">
        <v>11</v>
      </c>
      <c r="C17" s="91"/>
      <c r="D17" s="91"/>
      <c r="E17" s="91"/>
      <c r="F17" s="92"/>
      <c r="G17" s="90">
        <f>COUNTIF(B14:AF14,"A")</f>
        <v>0</v>
      </c>
      <c r="H17" s="91"/>
      <c r="I17" s="92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90" t="s">
        <v>12</v>
      </c>
      <c r="V17" s="91"/>
      <c r="W17" s="91"/>
      <c r="X17" s="91"/>
      <c r="Y17" s="91"/>
      <c r="Z17" s="92"/>
      <c r="AA17" s="90">
        <f>AG14+AG15</f>
        <v>260</v>
      </c>
      <c r="AB17" s="91"/>
      <c r="AC17" s="91"/>
      <c r="AD17" s="92"/>
      <c r="AE17" s="1"/>
      <c r="AF17" s="1"/>
      <c r="AG17" s="1"/>
    </row>
    <row r="18" spans="1:33" ht="15.75" thickBo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9.5" thickBot="1" x14ac:dyDescent="0.35">
      <c r="A19" s="93" t="s">
        <v>13</v>
      </c>
      <c r="B19" s="94"/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4"/>
      <c r="AB19" s="94"/>
      <c r="AC19" s="94"/>
      <c r="AD19" s="94"/>
      <c r="AE19" s="94"/>
      <c r="AF19" s="94"/>
      <c r="AG19" s="95"/>
    </row>
    <row r="20" spans="1:33" ht="19.5" thickBot="1" x14ac:dyDescent="0.35">
      <c r="A20" s="76" t="s">
        <v>14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8"/>
      <c r="Q20" s="76" t="s">
        <v>15</v>
      </c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77"/>
      <c r="AD20" s="77"/>
      <c r="AE20" s="77"/>
      <c r="AF20" s="77"/>
      <c r="AG20" s="78"/>
    </row>
    <row r="21" spans="1:33" x14ac:dyDescent="0.25">
      <c r="A21" s="65" t="s">
        <v>16</v>
      </c>
      <c r="B21" s="66"/>
      <c r="C21" s="66"/>
      <c r="D21" s="66"/>
      <c r="E21" s="67"/>
      <c r="F21" s="68">
        <v>2000</v>
      </c>
      <c r="G21" s="69"/>
      <c r="H21" s="69"/>
      <c r="I21" s="69"/>
      <c r="J21" s="69"/>
      <c r="K21" s="69"/>
      <c r="L21" s="69"/>
      <c r="M21" s="69"/>
      <c r="N21" s="69"/>
      <c r="O21" s="69"/>
      <c r="P21" s="70"/>
      <c r="Q21" s="65" t="s">
        <v>17</v>
      </c>
      <c r="R21" s="66"/>
      <c r="S21" s="66"/>
      <c r="T21" s="66"/>
      <c r="U21" s="66"/>
      <c r="V21" s="66"/>
      <c r="W21" s="66"/>
      <c r="X21" s="66"/>
      <c r="Y21" s="66"/>
      <c r="Z21" s="67"/>
      <c r="AA21" s="71">
        <f>F21/30*G17*2</f>
        <v>0</v>
      </c>
      <c r="AB21" s="71"/>
      <c r="AC21" s="71"/>
      <c r="AD21" s="71"/>
      <c r="AE21" s="71"/>
      <c r="AF21" s="71"/>
      <c r="AG21" s="72"/>
    </row>
    <row r="22" spans="1:33" x14ac:dyDescent="0.25">
      <c r="A22" s="49" t="s">
        <v>18</v>
      </c>
      <c r="B22" s="50"/>
      <c r="C22" s="50"/>
      <c r="D22" s="50"/>
      <c r="E22" s="51"/>
      <c r="F22" s="52">
        <v>0</v>
      </c>
      <c r="G22" s="53"/>
      <c r="H22" s="53"/>
      <c r="I22" s="53"/>
      <c r="J22" s="53"/>
      <c r="K22" s="53"/>
      <c r="L22" s="53"/>
      <c r="M22" s="53"/>
      <c r="N22" s="53"/>
      <c r="O22" s="53"/>
      <c r="P22" s="54"/>
      <c r="Q22" s="73" t="s">
        <v>19</v>
      </c>
      <c r="R22" s="74"/>
      <c r="S22" s="74"/>
      <c r="T22" s="74"/>
      <c r="U22" s="74"/>
      <c r="V22" s="74"/>
      <c r="W22" s="74"/>
      <c r="X22" s="74"/>
      <c r="Y22" s="74"/>
      <c r="Z22" s="75"/>
      <c r="AA22" s="55">
        <v>0</v>
      </c>
      <c r="AB22" s="55"/>
      <c r="AC22" s="55"/>
      <c r="AD22" s="55"/>
      <c r="AE22" s="55"/>
      <c r="AF22" s="55"/>
      <c r="AG22" s="56"/>
    </row>
    <row r="23" spans="1:33" x14ac:dyDescent="0.25">
      <c r="A23" s="49" t="s">
        <v>10</v>
      </c>
      <c r="B23" s="50"/>
      <c r="C23" s="50"/>
      <c r="D23" s="50"/>
      <c r="E23" s="51"/>
      <c r="F23" s="52">
        <f>F21/30/8*1.5*AG15</f>
        <v>0</v>
      </c>
      <c r="G23" s="53"/>
      <c r="H23" s="53"/>
      <c r="I23" s="53"/>
      <c r="J23" s="53"/>
      <c r="K23" s="53"/>
      <c r="L23" s="53"/>
      <c r="M23" s="53"/>
      <c r="N23" s="53"/>
      <c r="O23" s="53"/>
      <c r="P23" s="54"/>
      <c r="Q23" s="49" t="s">
        <v>20</v>
      </c>
      <c r="R23" s="50"/>
      <c r="S23" s="50"/>
      <c r="T23" s="50"/>
      <c r="U23" s="50"/>
      <c r="V23" s="50"/>
      <c r="W23" s="50"/>
      <c r="X23" s="50"/>
      <c r="Y23" s="50"/>
      <c r="Z23" s="51"/>
      <c r="AA23" s="55">
        <v>0</v>
      </c>
      <c r="AB23" s="55"/>
      <c r="AC23" s="55"/>
      <c r="AD23" s="55"/>
      <c r="AE23" s="55"/>
      <c r="AF23" s="55"/>
      <c r="AG23" s="56"/>
    </row>
    <row r="24" spans="1:33" ht="15.75" thickBot="1" x14ac:dyDescent="0.3">
      <c r="A24" s="57" t="s">
        <v>21</v>
      </c>
      <c r="B24" s="58"/>
      <c r="C24" s="58"/>
      <c r="D24" s="58"/>
      <c r="E24" s="59"/>
      <c r="F24" s="60">
        <f>SUM(F21:P23)</f>
        <v>2000</v>
      </c>
      <c r="G24" s="61"/>
      <c r="H24" s="61"/>
      <c r="I24" s="61"/>
      <c r="J24" s="61"/>
      <c r="K24" s="61"/>
      <c r="L24" s="61"/>
      <c r="M24" s="61"/>
      <c r="N24" s="61"/>
      <c r="O24" s="61"/>
      <c r="P24" s="62"/>
      <c r="Q24" s="57" t="s">
        <v>21</v>
      </c>
      <c r="R24" s="58"/>
      <c r="S24" s="58"/>
      <c r="T24" s="58"/>
      <c r="U24" s="58"/>
      <c r="V24" s="58"/>
      <c r="W24" s="58"/>
      <c r="X24" s="58"/>
      <c r="Y24" s="58"/>
      <c r="Z24" s="59"/>
      <c r="AA24" s="63">
        <f>SUM(AA21:AG23)</f>
        <v>0</v>
      </c>
      <c r="AB24" s="63"/>
      <c r="AC24" s="63"/>
      <c r="AD24" s="63"/>
      <c r="AE24" s="63"/>
      <c r="AF24" s="63"/>
      <c r="AG24" s="64"/>
    </row>
    <row r="25" spans="1:33" ht="15.75" thickBo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21.75" thickBot="1" x14ac:dyDescent="0.3">
      <c r="A26" s="9"/>
      <c r="B26" s="9"/>
      <c r="C26" s="9"/>
      <c r="D26" s="9"/>
      <c r="E26" s="44" t="s">
        <v>22</v>
      </c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6"/>
      <c r="S26" s="47">
        <f>F24-AA24</f>
        <v>2000</v>
      </c>
      <c r="T26" s="45"/>
      <c r="U26" s="45"/>
      <c r="V26" s="45"/>
      <c r="W26" s="45"/>
      <c r="X26" s="45"/>
      <c r="Y26" s="45"/>
      <c r="Z26" s="46"/>
      <c r="AA26" s="10"/>
      <c r="AB26" s="10"/>
      <c r="AC26" s="10"/>
      <c r="AD26" s="10"/>
      <c r="AE26" s="10"/>
      <c r="AF26" s="10"/>
      <c r="AG26" s="10"/>
    </row>
    <row r="36" spans="2:28" ht="18.75" x14ac:dyDescent="0.3">
      <c r="B36" s="48" t="s">
        <v>23</v>
      </c>
      <c r="C36" s="48"/>
      <c r="D36" s="48"/>
      <c r="E36" s="48"/>
      <c r="F36" s="48"/>
      <c r="G36" s="48"/>
      <c r="H36" s="48"/>
      <c r="V36" s="48" t="s">
        <v>24</v>
      </c>
      <c r="W36" s="48"/>
      <c r="X36" s="48"/>
      <c r="Y36" s="48"/>
      <c r="Z36" s="48"/>
      <c r="AA36" s="48"/>
      <c r="AB36" s="48"/>
    </row>
  </sheetData>
  <mergeCells count="39">
    <mergeCell ref="A7:AG7"/>
    <mergeCell ref="B9:I9"/>
    <mergeCell ref="K9:O9"/>
    <mergeCell ref="P9:V9"/>
    <mergeCell ref="X9:AB9"/>
    <mergeCell ref="AC9:AG9"/>
    <mergeCell ref="A20:P20"/>
    <mergeCell ref="Q20:AG20"/>
    <mergeCell ref="B10:I10"/>
    <mergeCell ref="K10:O10"/>
    <mergeCell ref="P10:V10"/>
    <mergeCell ref="X10:AB10"/>
    <mergeCell ref="AC10:AG10"/>
    <mergeCell ref="AG12:AG13"/>
    <mergeCell ref="B17:F17"/>
    <mergeCell ref="G17:I17"/>
    <mergeCell ref="U17:Z17"/>
    <mergeCell ref="AA17:AD17"/>
    <mergeCell ref="A19:AG19"/>
    <mergeCell ref="A21:E21"/>
    <mergeCell ref="F21:P21"/>
    <mergeCell ref="Q21:Z21"/>
    <mergeCell ref="AA21:AG21"/>
    <mergeCell ref="A22:E22"/>
    <mergeCell ref="F22:P22"/>
    <mergeCell ref="Q22:Z22"/>
    <mergeCell ref="AA22:AG22"/>
    <mergeCell ref="E26:R26"/>
    <mergeCell ref="S26:Z26"/>
    <mergeCell ref="B36:H36"/>
    <mergeCell ref="V36:AB36"/>
    <mergeCell ref="A23:E23"/>
    <mergeCell ref="F23:P23"/>
    <mergeCell ref="Q23:Z23"/>
    <mergeCell ref="AA23:AG23"/>
    <mergeCell ref="A24:E24"/>
    <mergeCell ref="F24:P24"/>
    <mergeCell ref="Q24:Z24"/>
    <mergeCell ref="AA24:AG24"/>
  </mergeCells>
  <conditionalFormatting sqref="B14:AF14">
    <cfRule type="containsText" dxfId="15" priority="5" operator="containsText" text="H">
      <formula>NOT(ISERROR(SEARCH("H",B14)))</formula>
    </cfRule>
  </conditionalFormatting>
  <conditionalFormatting sqref="B14:AF15 W16">
    <cfRule type="containsText" dxfId="14" priority="6" operator="containsText" text="M">
      <formula>NOT(ISERROR(SEARCH("M",B14)))</formula>
    </cfRule>
    <cfRule type="expression" dxfId="13" priority="7">
      <formula>B$13="Fri"</formula>
    </cfRule>
    <cfRule type="containsText" dxfId="12" priority="8" operator="containsText" text="A">
      <formula>NOT(ISERROR(SEARCH("A",B14)))</formula>
    </cfRule>
  </conditionalFormatting>
  <conditionalFormatting sqref="F24:P24">
    <cfRule type="expression" dxfId="11" priority="9">
      <formula>B$13="Fri"</formula>
    </cfRule>
  </conditionalFormatting>
  <conditionalFormatting sqref="H15">
    <cfRule type="containsText" dxfId="10" priority="1" operator="containsText" text="H">
      <formula>NOT(ISERROR(SEARCH("H",H15)))</formula>
    </cfRule>
  </conditionalFormatting>
  <dataValidations count="1">
    <dataValidation errorStyle="information" allowBlank="1" showInputMessage="1" showErrorMessage="1" sqref="K13" xr:uid="{70C92106-97B6-4701-B933-A8E72DCA5B1F}"/>
  </dataValidations>
  <pageMargins left="0.7" right="0.7" top="0.75" bottom="0.75" header="0.3" footer="0.3"/>
  <pageSetup paperSize="9" scale="79" orientation="landscape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information" allowBlank="1" showInputMessage="1" xr:uid="{5D2D9F7B-CAF0-4B1D-9539-19E55073D94F}">
          <x14:formula1>
            <xm:f>DATA!$A$3:$A$13</xm:f>
          </x14:formula1>
          <xm:sqref>A7:AG7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02A4B-FBE1-4F5A-9365-8C941E8C7A9A}">
  <sheetPr>
    <pageSetUpPr fitToPage="1"/>
  </sheetPr>
  <dimension ref="A1:AG36"/>
  <sheetViews>
    <sheetView topLeftCell="A4" workbookViewId="0">
      <selection activeCell="B12" sqref="B12:AF13"/>
    </sheetView>
  </sheetViews>
  <sheetFormatPr defaultRowHeight="15" x14ac:dyDescent="0.25"/>
  <cols>
    <col min="1" max="1" width="16.5703125" bestFit="1" customWidth="1"/>
    <col min="2" max="2" width="4.7109375" bestFit="1" customWidth="1"/>
    <col min="3" max="3" width="4.5703125" bestFit="1" customWidth="1"/>
    <col min="4" max="4" width="5.28515625" bestFit="1" customWidth="1"/>
    <col min="5" max="5" width="4.7109375" bestFit="1" customWidth="1"/>
    <col min="6" max="6" width="5.140625" bestFit="1" customWidth="1"/>
    <col min="7" max="7" width="4.42578125" bestFit="1" customWidth="1"/>
    <col min="8" max="8" width="4.7109375" bestFit="1" customWidth="1"/>
    <col min="9" max="9" width="5.140625" bestFit="1" customWidth="1"/>
    <col min="10" max="10" width="4.140625" bestFit="1" customWidth="1"/>
    <col min="11" max="11" width="4.85546875" bestFit="1" customWidth="1"/>
    <col min="12" max="12" width="4.42578125" bestFit="1" customWidth="1"/>
    <col min="13" max="13" width="4.140625" bestFit="1" customWidth="1"/>
    <col min="14" max="14" width="4.7109375" bestFit="1" customWidth="1"/>
    <col min="15" max="16" width="5.140625" bestFit="1" customWidth="1"/>
    <col min="17" max="17" width="4.85546875" bestFit="1" customWidth="1"/>
    <col min="18" max="18" width="5.140625" bestFit="1" customWidth="1"/>
    <col min="19" max="19" width="4.42578125" bestFit="1" customWidth="1"/>
    <col min="20" max="20" width="5.140625" bestFit="1" customWidth="1"/>
    <col min="21" max="21" width="4.7109375" bestFit="1" customWidth="1"/>
    <col min="22" max="22" width="5.140625" bestFit="1" customWidth="1"/>
    <col min="23" max="23" width="4.140625" bestFit="1" customWidth="1"/>
    <col min="24" max="24" width="4.85546875" bestFit="1" customWidth="1"/>
    <col min="25" max="25" width="5.140625" bestFit="1" customWidth="1"/>
    <col min="26" max="26" width="4.42578125" bestFit="1" customWidth="1"/>
    <col min="27" max="27" width="4.85546875" bestFit="1" customWidth="1"/>
    <col min="28" max="28" width="4.42578125" bestFit="1" customWidth="1"/>
    <col min="29" max="29" width="4.7109375" bestFit="1" customWidth="1"/>
    <col min="30" max="30" width="5.28515625" customWidth="1"/>
    <col min="31" max="31" width="4.5703125" bestFit="1" customWidth="1"/>
    <col min="32" max="32" width="5.28515625" bestFit="1" customWidth="1"/>
    <col min="33" max="33" width="7.7109375" bestFit="1" customWidth="1"/>
  </cols>
  <sheetData>
    <row r="1" spans="1:33" ht="14.45" customHeight="1" x14ac:dyDescent="0.65"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</row>
    <row r="2" spans="1:33" ht="14.45" customHeight="1" x14ac:dyDescent="0.65"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</row>
    <row r="3" spans="1:33" ht="14.45" customHeight="1" x14ac:dyDescent="0.65"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</row>
    <row r="4" spans="1:33" ht="14.45" customHeight="1" x14ac:dyDescent="0.65"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</row>
    <row r="5" spans="1:33" ht="21" customHeight="1" x14ac:dyDescent="0.45"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</row>
    <row r="6" spans="1:33" ht="14.45" customHeight="1" x14ac:dyDescent="0.45">
      <c r="F6" s="1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</row>
    <row r="7" spans="1:33" ht="22.5" x14ac:dyDescent="0.25">
      <c r="A7" s="96" t="s">
        <v>54</v>
      </c>
      <c r="B7" s="97"/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97"/>
      <c r="AC7" s="97"/>
      <c r="AD7" s="97"/>
      <c r="AE7" s="97"/>
      <c r="AF7" s="97"/>
      <c r="AG7" s="97"/>
    </row>
    <row r="8" spans="1:33" ht="15.75" thickBot="1" x14ac:dyDescent="0.3"/>
    <row r="9" spans="1:33" ht="15.75" thickBot="1" x14ac:dyDescent="0.3">
      <c r="A9" s="2" t="s">
        <v>0</v>
      </c>
      <c r="B9" s="79" t="s">
        <v>51</v>
      </c>
      <c r="C9" s="80"/>
      <c r="D9" s="80"/>
      <c r="E9" s="80"/>
      <c r="F9" s="80"/>
      <c r="G9" s="80"/>
      <c r="H9" s="80"/>
      <c r="I9" s="81"/>
      <c r="J9" s="3"/>
      <c r="K9" s="98" t="s">
        <v>1</v>
      </c>
      <c r="L9" s="99"/>
      <c r="M9" s="99"/>
      <c r="N9" s="99"/>
      <c r="O9" s="100"/>
      <c r="P9" s="85">
        <v>119</v>
      </c>
      <c r="Q9" s="86"/>
      <c r="R9" s="86"/>
      <c r="S9" s="86"/>
      <c r="T9" s="86"/>
      <c r="U9" s="86"/>
      <c r="V9" s="87"/>
      <c r="W9" s="3"/>
      <c r="X9" s="98" t="s">
        <v>2</v>
      </c>
      <c r="Y9" s="99"/>
      <c r="Z9" s="99"/>
      <c r="AA9" s="99"/>
      <c r="AB9" s="100"/>
      <c r="AC9" s="101"/>
      <c r="AD9" s="102"/>
      <c r="AE9" s="102"/>
      <c r="AF9" s="102"/>
      <c r="AG9" s="103"/>
    </row>
    <row r="10" spans="1:33" ht="15.75" thickBot="1" x14ac:dyDescent="0.3">
      <c r="A10" s="4" t="s">
        <v>3</v>
      </c>
      <c r="B10" s="79">
        <v>2586507770</v>
      </c>
      <c r="C10" s="80"/>
      <c r="D10" s="80"/>
      <c r="E10" s="80"/>
      <c r="F10" s="80"/>
      <c r="G10" s="80"/>
      <c r="H10" s="80"/>
      <c r="I10" s="81"/>
      <c r="J10" s="3"/>
      <c r="K10" s="82" t="s">
        <v>4</v>
      </c>
      <c r="L10" s="83"/>
      <c r="M10" s="83"/>
      <c r="N10" s="83"/>
      <c r="O10" s="84"/>
      <c r="P10" s="85" t="s">
        <v>42</v>
      </c>
      <c r="Q10" s="86"/>
      <c r="R10" s="86"/>
      <c r="S10" s="86"/>
      <c r="T10" s="86"/>
      <c r="U10" s="86"/>
      <c r="V10" s="87"/>
      <c r="W10" s="3"/>
      <c r="X10" s="82" t="s">
        <v>5</v>
      </c>
      <c r="Y10" s="83"/>
      <c r="Z10" s="83"/>
      <c r="AA10" s="83"/>
      <c r="AB10" s="84"/>
      <c r="AC10" s="85"/>
      <c r="AD10" s="86"/>
      <c r="AE10" s="86"/>
      <c r="AF10" s="86"/>
      <c r="AG10" s="87"/>
    </row>
    <row r="11" spans="1:33" ht="15.75" thickBot="1" x14ac:dyDescent="0.3"/>
    <row r="12" spans="1:33" ht="16.5" thickBot="1" x14ac:dyDescent="0.3">
      <c r="A12" s="5" t="s">
        <v>6</v>
      </c>
      <c r="B12" s="12">
        <f>DATA!$I$4</f>
        <v>46023</v>
      </c>
      <c r="C12" s="12">
        <f>IF(B12&lt;DATA!$C$4,B12+1,"")</f>
        <v>46024</v>
      </c>
      <c r="D12" s="12">
        <f>IF(C12&lt;DATA!$C$4,C12+1,"")</f>
        <v>46025</v>
      </c>
      <c r="E12" s="12">
        <f>IF(D12&lt;DATA!$C$4,D12+1,"")</f>
        <v>46026</v>
      </c>
      <c r="F12" s="12">
        <f>IF(E12&lt;DATA!$C$4,E12+1,"")</f>
        <v>46027</v>
      </c>
      <c r="G12" s="12">
        <f>IF(F12&lt;DATA!$C$4,F12+1,"")</f>
        <v>46028</v>
      </c>
      <c r="H12" s="12">
        <f>IF(G12&lt;DATA!$C$4,G12+1,"")</f>
        <v>46029</v>
      </c>
      <c r="I12" s="12">
        <f>IF(H12&lt;DATA!$C$4,H12+1,"")</f>
        <v>46030</v>
      </c>
      <c r="J12" s="12">
        <f>IF(I12&lt;DATA!$C$4,I12+1,"")</f>
        <v>46031</v>
      </c>
      <c r="K12" s="12">
        <f>IF(J12&lt;DATA!$C$4,J12+1,"")</f>
        <v>46032</v>
      </c>
      <c r="L12" s="12">
        <f>IF(K12&lt;DATA!$C$4,K12+1,"")</f>
        <v>46033</v>
      </c>
      <c r="M12" s="12">
        <f>IF(L12&lt;DATA!$C$4,L12+1,"")</f>
        <v>46034</v>
      </c>
      <c r="N12" s="12">
        <f>IF(M12&lt;DATA!$C$4,M12+1,"")</f>
        <v>46035</v>
      </c>
      <c r="O12" s="12">
        <f>IF(N12&lt;DATA!$C$4,N12+1,"")</f>
        <v>46036</v>
      </c>
      <c r="P12" s="12">
        <f>IF(O12&lt;DATA!$C$4,O12+1,"")</f>
        <v>46037</v>
      </c>
      <c r="Q12" s="12">
        <f>IF(P12&lt;DATA!$C$4,P12+1,"")</f>
        <v>46038</v>
      </c>
      <c r="R12" s="12">
        <f>IF(Q12&lt;DATA!$C$4,Q12+1,"")</f>
        <v>46039</v>
      </c>
      <c r="S12" s="12">
        <f>IF(R12&lt;DATA!$C$4,R12+1,"")</f>
        <v>46040</v>
      </c>
      <c r="T12" s="12">
        <f>IF(S12&lt;DATA!$C$4,S12+1,"")</f>
        <v>46041</v>
      </c>
      <c r="U12" s="12">
        <f>IF(T12&lt;DATA!$C$4,T12+1,"")</f>
        <v>46042</v>
      </c>
      <c r="V12" s="12">
        <f>IF(U12&lt;DATA!$C$4,U12+1,"")</f>
        <v>46043</v>
      </c>
      <c r="W12" s="12">
        <f>IF(V12&lt;DATA!$C$4,V12+1,"")</f>
        <v>46044</v>
      </c>
      <c r="X12" s="12">
        <f>IF(W12&lt;DATA!$C$4,W12+1,"")</f>
        <v>46045</v>
      </c>
      <c r="Y12" s="12">
        <f>IF(X12&lt;DATA!$C$4,X12+1,"")</f>
        <v>46046</v>
      </c>
      <c r="Z12" s="12">
        <f>IF(Y12&lt;DATA!$C$4,Y12+1,"")</f>
        <v>46047</v>
      </c>
      <c r="AA12" s="12">
        <f>IF(Z12&lt;DATA!$C$4,Z12+1,"")</f>
        <v>46048</v>
      </c>
      <c r="AB12" s="12">
        <f>IF(AA12&lt;DATA!$C$4,AA12+1,"")</f>
        <v>46049</v>
      </c>
      <c r="AC12" s="12">
        <f>IF(AB12&lt;DATA!$C$4,AB12+1,"")</f>
        <v>46050</v>
      </c>
      <c r="AD12" s="12">
        <f>IF(AC12&lt;DATA!$C$4,AC12+1,"")</f>
        <v>46051</v>
      </c>
      <c r="AE12" s="12">
        <f>IF(AD12&lt;DATA!$C$4,AD12+1,"")</f>
        <v>46052</v>
      </c>
      <c r="AF12" s="12">
        <f>IF(AE12&lt;DATA!$C$4,AE12+1,"")</f>
        <v>46053</v>
      </c>
      <c r="AG12" s="88" t="s">
        <v>7</v>
      </c>
    </row>
    <row r="13" spans="1:33" ht="16.5" thickBot="1" x14ac:dyDescent="0.3">
      <c r="A13" s="5" t="s">
        <v>8</v>
      </c>
      <c r="B13" s="11" t="str">
        <f t="shared" ref="B13:AF13" si="0">TEXT(B12,"ddd")</f>
        <v>Thu</v>
      </c>
      <c r="C13" s="11" t="str">
        <f t="shared" si="0"/>
        <v>Fri</v>
      </c>
      <c r="D13" s="11" t="str">
        <f t="shared" si="0"/>
        <v>Sat</v>
      </c>
      <c r="E13" s="11" t="str">
        <f t="shared" si="0"/>
        <v>Sun</v>
      </c>
      <c r="F13" s="11" t="str">
        <f t="shared" si="0"/>
        <v>Mon</v>
      </c>
      <c r="G13" s="11" t="str">
        <f t="shared" si="0"/>
        <v>Tue</v>
      </c>
      <c r="H13" s="11" t="str">
        <f t="shared" si="0"/>
        <v>Wed</v>
      </c>
      <c r="I13" s="11" t="str">
        <f t="shared" si="0"/>
        <v>Thu</v>
      </c>
      <c r="J13" s="11" t="str">
        <f t="shared" si="0"/>
        <v>Fri</v>
      </c>
      <c r="K13" s="11" t="str">
        <f t="shared" si="0"/>
        <v>Sat</v>
      </c>
      <c r="L13" s="11" t="str">
        <f t="shared" si="0"/>
        <v>Sun</v>
      </c>
      <c r="M13" s="11" t="str">
        <f t="shared" si="0"/>
        <v>Mon</v>
      </c>
      <c r="N13" s="11" t="str">
        <f t="shared" si="0"/>
        <v>Tue</v>
      </c>
      <c r="O13" s="11" t="str">
        <f t="shared" si="0"/>
        <v>Wed</v>
      </c>
      <c r="P13" s="11" t="str">
        <f t="shared" si="0"/>
        <v>Thu</v>
      </c>
      <c r="Q13" s="11" t="str">
        <f t="shared" si="0"/>
        <v>Fri</v>
      </c>
      <c r="R13" s="11" t="str">
        <f t="shared" si="0"/>
        <v>Sat</v>
      </c>
      <c r="S13" s="11" t="str">
        <f t="shared" si="0"/>
        <v>Sun</v>
      </c>
      <c r="T13" s="11" t="str">
        <f t="shared" si="0"/>
        <v>Mon</v>
      </c>
      <c r="U13" s="11" t="str">
        <f t="shared" si="0"/>
        <v>Tue</v>
      </c>
      <c r="V13" s="11" t="str">
        <f t="shared" si="0"/>
        <v>Wed</v>
      </c>
      <c r="W13" s="11" t="str">
        <f t="shared" si="0"/>
        <v>Thu</v>
      </c>
      <c r="X13" s="11" t="str">
        <f t="shared" si="0"/>
        <v>Fri</v>
      </c>
      <c r="Y13" s="11" t="str">
        <f t="shared" si="0"/>
        <v>Sat</v>
      </c>
      <c r="Z13" s="11" t="str">
        <f t="shared" si="0"/>
        <v>Sun</v>
      </c>
      <c r="AA13" s="11" t="str">
        <f t="shared" si="0"/>
        <v>Mon</v>
      </c>
      <c r="AB13" s="11" t="str">
        <f t="shared" si="0"/>
        <v>Tue</v>
      </c>
      <c r="AC13" s="11" t="str">
        <f t="shared" si="0"/>
        <v>Wed</v>
      </c>
      <c r="AD13" s="11" t="str">
        <f t="shared" si="0"/>
        <v>Thu</v>
      </c>
      <c r="AE13" s="11" t="str">
        <f t="shared" si="0"/>
        <v>Fri</v>
      </c>
      <c r="AF13" s="11" t="str">
        <f t="shared" si="0"/>
        <v>Sat</v>
      </c>
      <c r="AG13" s="89"/>
    </row>
    <row r="14" spans="1:33" ht="16.5" thickBot="1" x14ac:dyDescent="0.3">
      <c r="A14" s="6" t="s">
        <v>9</v>
      </c>
      <c r="B14" s="13">
        <v>8</v>
      </c>
      <c r="C14" s="13"/>
      <c r="D14" s="13">
        <v>8</v>
      </c>
      <c r="E14" s="13">
        <v>8</v>
      </c>
      <c r="F14" s="13">
        <v>8</v>
      </c>
      <c r="G14" s="13">
        <v>8</v>
      </c>
      <c r="H14" s="13">
        <v>8</v>
      </c>
      <c r="I14" s="13">
        <v>8</v>
      </c>
      <c r="J14" s="13"/>
      <c r="K14" s="13">
        <v>8</v>
      </c>
      <c r="L14" s="13">
        <v>8</v>
      </c>
      <c r="M14" s="13">
        <v>8</v>
      </c>
      <c r="N14" s="13">
        <v>8</v>
      </c>
      <c r="O14" s="13">
        <v>8</v>
      </c>
      <c r="P14" s="13">
        <v>8</v>
      </c>
      <c r="Q14" s="13"/>
      <c r="R14" s="13">
        <v>8</v>
      </c>
      <c r="S14" s="13">
        <v>8</v>
      </c>
      <c r="T14" s="13">
        <v>8</v>
      </c>
      <c r="U14" s="13">
        <v>8</v>
      </c>
      <c r="V14" s="13">
        <v>8</v>
      </c>
      <c r="W14" s="13">
        <v>8</v>
      </c>
      <c r="X14" s="13"/>
      <c r="Y14" s="13">
        <v>8</v>
      </c>
      <c r="Z14" s="13">
        <v>8</v>
      </c>
      <c r="AA14" s="13">
        <v>8</v>
      </c>
      <c r="AB14" s="13">
        <v>8</v>
      </c>
      <c r="AC14" s="13">
        <v>8</v>
      </c>
      <c r="AD14" s="13">
        <v>8</v>
      </c>
      <c r="AE14" s="13"/>
      <c r="AF14" s="13"/>
      <c r="AG14" s="5">
        <f>SUM(B14:AF14)</f>
        <v>200</v>
      </c>
    </row>
    <row r="15" spans="1:33" ht="16.5" thickBot="1" x14ac:dyDescent="0.3">
      <c r="A15" s="5" t="s">
        <v>10</v>
      </c>
      <c r="B15" s="28">
        <v>3</v>
      </c>
      <c r="C15" s="29"/>
      <c r="D15" s="28">
        <v>3</v>
      </c>
      <c r="E15" s="28">
        <v>3</v>
      </c>
      <c r="F15" s="28">
        <v>3</v>
      </c>
      <c r="G15" s="28">
        <v>3</v>
      </c>
      <c r="H15" s="27">
        <v>3</v>
      </c>
      <c r="I15" s="13">
        <v>3</v>
      </c>
      <c r="J15" s="13"/>
      <c r="K15" s="13">
        <v>3</v>
      </c>
      <c r="L15" s="13">
        <v>3</v>
      </c>
      <c r="M15" s="13">
        <v>3</v>
      </c>
      <c r="N15" s="13">
        <v>2</v>
      </c>
      <c r="O15" s="27">
        <v>2</v>
      </c>
      <c r="P15" s="13">
        <v>2</v>
      </c>
      <c r="Q15" s="13"/>
      <c r="R15" s="13">
        <v>2</v>
      </c>
      <c r="S15" s="13">
        <v>2</v>
      </c>
      <c r="T15" s="13">
        <v>2</v>
      </c>
      <c r="U15" s="13">
        <v>2</v>
      </c>
      <c r="V15" s="13">
        <v>2</v>
      </c>
      <c r="W15" s="13">
        <v>2</v>
      </c>
      <c r="X15" s="13"/>
      <c r="Y15" s="13"/>
      <c r="Z15" s="13"/>
      <c r="AA15" s="13"/>
      <c r="AB15" s="13"/>
      <c r="AC15" s="13"/>
      <c r="AD15" s="13"/>
      <c r="AE15" s="13"/>
      <c r="AF15" s="13"/>
      <c r="AG15" s="8">
        <f>SUM(B15:AF15)</f>
        <v>48</v>
      </c>
    </row>
    <row r="16" spans="1:33" ht="15.75" thickBot="1" x14ac:dyDescent="0.3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6.5" thickBot="1" x14ac:dyDescent="0.3">
      <c r="A17" s="1"/>
      <c r="B17" s="90" t="s">
        <v>11</v>
      </c>
      <c r="C17" s="91"/>
      <c r="D17" s="91"/>
      <c r="E17" s="91"/>
      <c r="F17" s="92"/>
      <c r="G17" s="90">
        <f>COUNTIF(B14:AF14,"A")</f>
        <v>0</v>
      </c>
      <c r="H17" s="91"/>
      <c r="I17" s="92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90" t="s">
        <v>12</v>
      </c>
      <c r="V17" s="91"/>
      <c r="W17" s="91"/>
      <c r="X17" s="91"/>
      <c r="Y17" s="91"/>
      <c r="Z17" s="92"/>
      <c r="AA17" s="90">
        <f>AG14+AG15</f>
        <v>248</v>
      </c>
      <c r="AB17" s="91"/>
      <c r="AC17" s="91"/>
      <c r="AD17" s="92"/>
      <c r="AE17" s="1"/>
      <c r="AF17" s="1"/>
      <c r="AG17" s="1"/>
    </row>
    <row r="18" spans="1:33" ht="15.75" thickBo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9.5" thickBot="1" x14ac:dyDescent="0.35">
      <c r="A19" s="93" t="s">
        <v>13</v>
      </c>
      <c r="B19" s="94"/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4"/>
      <c r="AB19" s="94"/>
      <c r="AC19" s="94"/>
      <c r="AD19" s="94"/>
      <c r="AE19" s="94"/>
      <c r="AF19" s="94"/>
      <c r="AG19" s="95"/>
    </row>
    <row r="20" spans="1:33" ht="19.5" thickBot="1" x14ac:dyDescent="0.35">
      <c r="A20" s="76" t="s">
        <v>14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8"/>
      <c r="Q20" s="76" t="s">
        <v>15</v>
      </c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77"/>
      <c r="AD20" s="77"/>
      <c r="AE20" s="77"/>
      <c r="AF20" s="77"/>
      <c r="AG20" s="78"/>
    </row>
    <row r="21" spans="1:33" x14ac:dyDescent="0.25">
      <c r="A21" s="65" t="s">
        <v>16</v>
      </c>
      <c r="B21" s="66"/>
      <c r="C21" s="66"/>
      <c r="D21" s="66"/>
      <c r="E21" s="67"/>
      <c r="F21" s="68">
        <v>1300</v>
      </c>
      <c r="G21" s="69"/>
      <c r="H21" s="69"/>
      <c r="I21" s="69"/>
      <c r="J21" s="69"/>
      <c r="K21" s="69"/>
      <c r="L21" s="69"/>
      <c r="M21" s="69"/>
      <c r="N21" s="69"/>
      <c r="O21" s="69"/>
      <c r="P21" s="70"/>
      <c r="Q21" s="65" t="s">
        <v>17</v>
      </c>
      <c r="R21" s="66"/>
      <c r="S21" s="66"/>
      <c r="T21" s="66"/>
      <c r="U21" s="66"/>
      <c r="V21" s="66"/>
      <c r="W21" s="66"/>
      <c r="X21" s="66"/>
      <c r="Y21" s="66"/>
      <c r="Z21" s="67"/>
      <c r="AA21" s="71">
        <f>F21/30*G17*2</f>
        <v>0</v>
      </c>
      <c r="AB21" s="71"/>
      <c r="AC21" s="71"/>
      <c r="AD21" s="71"/>
      <c r="AE21" s="71"/>
      <c r="AF21" s="71"/>
      <c r="AG21" s="72"/>
    </row>
    <row r="22" spans="1:33" x14ac:dyDescent="0.25">
      <c r="A22" s="49" t="s">
        <v>18</v>
      </c>
      <c r="B22" s="50"/>
      <c r="C22" s="50"/>
      <c r="D22" s="50"/>
      <c r="E22" s="51"/>
      <c r="F22" s="52">
        <v>0</v>
      </c>
      <c r="G22" s="53"/>
      <c r="H22" s="53"/>
      <c r="I22" s="53"/>
      <c r="J22" s="53"/>
      <c r="K22" s="53"/>
      <c r="L22" s="53"/>
      <c r="M22" s="53"/>
      <c r="N22" s="53"/>
      <c r="O22" s="53"/>
      <c r="P22" s="54"/>
      <c r="Q22" s="73" t="s">
        <v>19</v>
      </c>
      <c r="R22" s="74"/>
      <c r="S22" s="74"/>
      <c r="T22" s="74"/>
      <c r="U22" s="74"/>
      <c r="V22" s="74"/>
      <c r="W22" s="74"/>
      <c r="X22" s="74"/>
      <c r="Y22" s="74"/>
      <c r="Z22" s="75"/>
      <c r="AA22" s="55">
        <v>0</v>
      </c>
      <c r="AB22" s="55"/>
      <c r="AC22" s="55"/>
      <c r="AD22" s="55"/>
      <c r="AE22" s="55"/>
      <c r="AF22" s="55"/>
      <c r="AG22" s="56"/>
    </row>
    <row r="23" spans="1:33" x14ac:dyDescent="0.25">
      <c r="A23" s="49" t="s">
        <v>10</v>
      </c>
      <c r="B23" s="50"/>
      <c r="C23" s="50"/>
      <c r="D23" s="50"/>
      <c r="E23" s="51"/>
      <c r="F23" s="52">
        <f>F21/30/8*1.5*AG15</f>
        <v>390</v>
      </c>
      <c r="G23" s="53"/>
      <c r="H23" s="53"/>
      <c r="I23" s="53"/>
      <c r="J23" s="53"/>
      <c r="K23" s="53"/>
      <c r="L23" s="53"/>
      <c r="M23" s="53"/>
      <c r="N23" s="53"/>
      <c r="O23" s="53"/>
      <c r="P23" s="54"/>
      <c r="Q23" s="49" t="s">
        <v>20</v>
      </c>
      <c r="R23" s="50"/>
      <c r="S23" s="50"/>
      <c r="T23" s="50"/>
      <c r="U23" s="50"/>
      <c r="V23" s="50"/>
      <c r="W23" s="50"/>
      <c r="X23" s="50"/>
      <c r="Y23" s="50"/>
      <c r="Z23" s="51"/>
      <c r="AA23" s="55">
        <v>0</v>
      </c>
      <c r="AB23" s="55"/>
      <c r="AC23" s="55"/>
      <c r="AD23" s="55"/>
      <c r="AE23" s="55"/>
      <c r="AF23" s="55"/>
      <c r="AG23" s="56"/>
    </row>
    <row r="24" spans="1:33" ht="15.75" thickBot="1" x14ac:dyDescent="0.3">
      <c r="A24" s="57" t="s">
        <v>21</v>
      </c>
      <c r="B24" s="58"/>
      <c r="C24" s="58"/>
      <c r="D24" s="58"/>
      <c r="E24" s="59"/>
      <c r="F24" s="60">
        <f>SUM(F21:P23)</f>
        <v>1690</v>
      </c>
      <c r="G24" s="61"/>
      <c r="H24" s="61"/>
      <c r="I24" s="61"/>
      <c r="J24" s="61"/>
      <c r="K24" s="61"/>
      <c r="L24" s="61"/>
      <c r="M24" s="61"/>
      <c r="N24" s="61"/>
      <c r="O24" s="61"/>
      <c r="P24" s="62"/>
      <c r="Q24" s="57" t="s">
        <v>21</v>
      </c>
      <c r="R24" s="58"/>
      <c r="S24" s="58"/>
      <c r="T24" s="58"/>
      <c r="U24" s="58"/>
      <c r="V24" s="58"/>
      <c r="W24" s="58"/>
      <c r="X24" s="58"/>
      <c r="Y24" s="58"/>
      <c r="Z24" s="59"/>
      <c r="AA24" s="63">
        <f>SUM(AA21:AG23)</f>
        <v>0</v>
      </c>
      <c r="AB24" s="63"/>
      <c r="AC24" s="63"/>
      <c r="AD24" s="63"/>
      <c r="AE24" s="63"/>
      <c r="AF24" s="63"/>
      <c r="AG24" s="64"/>
    </row>
    <row r="25" spans="1:33" ht="15.75" thickBo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21.75" thickBot="1" x14ac:dyDescent="0.3">
      <c r="A26" s="9"/>
      <c r="B26" s="9"/>
      <c r="C26" s="9"/>
      <c r="D26" s="9"/>
      <c r="E26" s="44" t="s">
        <v>22</v>
      </c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6"/>
      <c r="S26" s="47">
        <f>F24-AA24</f>
        <v>1690</v>
      </c>
      <c r="T26" s="45"/>
      <c r="U26" s="45"/>
      <c r="V26" s="45"/>
      <c r="W26" s="45"/>
      <c r="X26" s="45"/>
      <c r="Y26" s="45"/>
      <c r="Z26" s="46"/>
      <c r="AA26" s="10"/>
      <c r="AB26" s="10"/>
      <c r="AC26" s="10"/>
      <c r="AD26" s="10"/>
      <c r="AE26" s="10"/>
      <c r="AF26" s="10"/>
      <c r="AG26" s="10"/>
    </row>
    <row r="36" spans="2:28" ht="18.75" x14ac:dyDescent="0.3">
      <c r="B36" s="48" t="s">
        <v>23</v>
      </c>
      <c r="C36" s="48"/>
      <c r="D36" s="48"/>
      <c r="E36" s="48"/>
      <c r="F36" s="48"/>
      <c r="G36" s="48"/>
      <c r="H36" s="48"/>
      <c r="V36" s="48" t="s">
        <v>24</v>
      </c>
      <c r="W36" s="48"/>
      <c r="X36" s="48"/>
      <c r="Y36" s="48"/>
      <c r="Z36" s="48"/>
      <c r="AA36" s="48"/>
      <c r="AB36" s="48"/>
    </row>
  </sheetData>
  <mergeCells count="39">
    <mergeCell ref="A7:AG7"/>
    <mergeCell ref="B9:I9"/>
    <mergeCell ref="K9:O9"/>
    <mergeCell ref="P9:V9"/>
    <mergeCell ref="X9:AB9"/>
    <mergeCell ref="AC9:AG9"/>
    <mergeCell ref="A20:P20"/>
    <mergeCell ref="Q20:AG20"/>
    <mergeCell ref="B10:I10"/>
    <mergeCell ref="K10:O10"/>
    <mergeCell ref="P10:V10"/>
    <mergeCell ref="X10:AB10"/>
    <mergeCell ref="AC10:AG10"/>
    <mergeCell ref="AG12:AG13"/>
    <mergeCell ref="B17:F17"/>
    <mergeCell ref="G17:I17"/>
    <mergeCell ref="U17:Z17"/>
    <mergeCell ref="AA17:AD17"/>
    <mergeCell ref="A19:AG19"/>
    <mergeCell ref="A21:E21"/>
    <mergeCell ref="F21:P21"/>
    <mergeCell ref="Q21:Z21"/>
    <mergeCell ref="AA21:AG21"/>
    <mergeCell ref="A22:E22"/>
    <mergeCell ref="F22:P22"/>
    <mergeCell ref="Q22:Z22"/>
    <mergeCell ref="AA22:AG22"/>
    <mergeCell ref="E26:R26"/>
    <mergeCell ref="S26:Z26"/>
    <mergeCell ref="B36:H36"/>
    <mergeCell ref="V36:AB36"/>
    <mergeCell ref="A23:E23"/>
    <mergeCell ref="F23:P23"/>
    <mergeCell ref="Q23:Z23"/>
    <mergeCell ref="AA23:AG23"/>
    <mergeCell ref="A24:E24"/>
    <mergeCell ref="F24:P24"/>
    <mergeCell ref="Q24:Z24"/>
    <mergeCell ref="AA24:AG24"/>
  </mergeCells>
  <phoneticPr fontId="9" type="noConversion"/>
  <conditionalFormatting sqref="B14:AF14 H15:AF15">
    <cfRule type="containsText" dxfId="9" priority="2" operator="containsText" text="M">
      <formula>NOT(ISERROR(SEARCH("M",B14)))</formula>
    </cfRule>
    <cfRule type="expression" dxfId="8" priority="3">
      <formula>B$13="Fri"</formula>
    </cfRule>
    <cfRule type="containsText" dxfId="7" priority="4" operator="containsText" text="A">
      <formula>NOT(ISERROR(SEARCH("A",B14)))</formula>
    </cfRule>
  </conditionalFormatting>
  <conditionalFormatting sqref="B14:AF14">
    <cfRule type="containsText" dxfId="6" priority="1" operator="containsText" text="H">
      <formula>NOT(ISERROR(SEARCH("H",B14)))</formula>
    </cfRule>
  </conditionalFormatting>
  <conditionalFormatting sqref="F24:P24">
    <cfRule type="expression" dxfId="5" priority="5">
      <formula>B$13="Fri"</formula>
    </cfRule>
  </conditionalFormatting>
  <dataValidations count="1">
    <dataValidation errorStyle="information" allowBlank="1" showInputMessage="1" showErrorMessage="1" sqref="K13" xr:uid="{7E90A9D1-F298-4AAA-9349-3584A090652C}"/>
  </dataValidations>
  <pageMargins left="0.7" right="0.7" top="0.75" bottom="0.75" header="0.3" footer="0.3"/>
  <pageSetup paperSize="9" scale="77" orientation="landscape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information" allowBlank="1" showInputMessage="1" xr:uid="{C69EF6AD-FDCC-4406-B79B-B8D01BC744DF}">
          <x14:formula1>
            <xm:f>DATA!$A$3:$A$13</xm:f>
          </x14:formula1>
          <xm:sqref>A7:AG7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28CB8-8D8C-4860-BE1C-6C747F0D0D57}">
  <sheetPr>
    <pageSetUpPr fitToPage="1"/>
  </sheetPr>
  <dimension ref="A1:AG36"/>
  <sheetViews>
    <sheetView workbookViewId="0">
      <selection activeCell="A7" sqref="A7:AG7"/>
    </sheetView>
  </sheetViews>
  <sheetFormatPr defaultRowHeight="15" x14ac:dyDescent="0.25"/>
  <cols>
    <col min="1" max="1" width="16.5703125" bestFit="1" customWidth="1"/>
    <col min="2" max="2" width="4.7109375" bestFit="1" customWidth="1"/>
    <col min="3" max="3" width="4.5703125" bestFit="1" customWidth="1"/>
    <col min="4" max="4" width="5.28515625" bestFit="1" customWidth="1"/>
    <col min="5" max="5" width="4.7109375" bestFit="1" customWidth="1"/>
    <col min="6" max="6" width="5.140625" bestFit="1" customWidth="1"/>
    <col min="7" max="7" width="4.42578125" bestFit="1" customWidth="1"/>
    <col min="8" max="8" width="5.42578125" bestFit="1" customWidth="1"/>
    <col min="9" max="9" width="4" bestFit="1" customWidth="1"/>
    <col min="10" max="10" width="4.5703125" bestFit="1" customWidth="1"/>
    <col min="11" max="11" width="5.28515625" bestFit="1" customWidth="1"/>
    <col min="12" max="12" width="4.140625" bestFit="1" customWidth="1"/>
    <col min="13" max="13" width="5.140625" bestFit="1" customWidth="1"/>
    <col min="14" max="14" width="4.42578125" bestFit="1" customWidth="1"/>
    <col min="15" max="15" width="5.42578125" bestFit="1" customWidth="1"/>
    <col min="16" max="16" width="4" bestFit="1" customWidth="1"/>
    <col min="17" max="17" width="4.5703125" bestFit="1" customWidth="1"/>
    <col min="18" max="18" width="5.28515625" bestFit="1" customWidth="1"/>
    <col min="19" max="19" width="4.140625" bestFit="1" customWidth="1"/>
    <col min="20" max="20" width="5.140625" bestFit="1" customWidth="1"/>
    <col min="21" max="21" width="4.42578125" bestFit="1" customWidth="1"/>
    <col min="22" max="22" width="3.7109375" bestFit="1" customWidth="1"/>
    <col min="23" max="23" width="4" bestFit="1" customWidth="1"/>
    <col min="24" max="24" width="4.5703125" bestFit="1" customWidth="1"/>
    <col min="25" max="25" width="5.28515625" bestFit="1" customWidth="1"/>
    <col min="26" max="26" width="4.5703125" bestFit="1" customWidth="1"/>
    <col min="27" max="27" width="5.140625" bestFit="1" customWidth="1"/>
    <col min="28" max="28" width="4.42578125" bestFit="1" customWidth="1"/>
    <col min="29" max="29" width="3.7109375" bestFit="1" customWidth="1"/>
    <col min="30" max="30" width="4" bestFit="1" customWidth="1"/>
    <col min="31" max="31" width="4.5703125" bestFit="1" customWidth="1"/>
    <col min="32" max="32" width="5.28515625" bestFit="1" customWidth="1"/>
    <col min="33" max="33" width="7.7109375" bestFit="1" customWidth="1"/>
  </cols>
  <sheetData>
    <row r="1" spans="1:33" ht="14.45" customHeight="1" x14ac:dyDescent="0.65"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</row>
    <row r="2" spans="1:33" ht="14.45" customHeight="1" x14ac:dyDescent="0.65"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</row>
    <row r="3" spans="1:33" ht="14.45" customHeight="1" x14ac:dyDescent="0.65"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</row>
    <row r="4" spans="1:33" ht="14.45" customHeight="1" x14ac:dyDescent="0.65"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</row>
    <row r="5" spans="1:33" ht="21" customHeight="1" x14ac:dyDescent="0.45"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</row>
    <row r="6" spans="1:33" ht="14.45" customHeight="1" x14ac:dyDescent="0.45">
      <c r="F6" s="1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</row>
    <row r="7" spans="1:33" ht="22.5" x14ac:dyDescent="0.25">
      <c r="A7" s="96" t="s">
        <v>54</v>
      </c>
      <c r="B7" s="97"/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97"/>
      <c r="AC7" s="97"/>
      <c r="AD7" s="97"/>
      <c r="AE7" s="97"/>
      <c r="AF7" s="97"/>
      <c r="AG7" s="97"/>
    </row>
    <row r="8" spans="1:33" ht="15.75" thickBot="1" x14ac:dyDescent="0.3"/>
    <row r="9" spans="1:33" ht="15.75" thickBot="1" x14ac:dyDescent="0.3">
      <c r="A9" s="2" t="s">
        <v>0</v>
      </c>
      <c r="B9" s="79" t="s">
        <v>52</v>
      </c>
      <c r="C9" s="80"/>
      <c r="D9" s="80"/>
      <c r="E9" s="80"/>
      <c r="F9" s="80"/>
      <c r="G9" s="80"/>
      <c r="H9" s="80"/>
      <c r="I9" s="81"/>
      <c r="J9" s="3"/>
      <c r="K9" s="98" t="s">
        <v>1</v>
      </c>
      <c r="L9" s="99"/>
      <c r="M9" s="99"/>
      <c r="N9" s="99"/>
      <c r="O9" s="100"/>
      <c r="P9" s="85">
        <v>138</v>
      </c>
      <c r="Q9" s="86"/>
      <c r="R9" s="86"/>
      <c r="S9" s="86"/>
      <c r="T9" s="86"/>
      <c r="U9" s="86"/>
      <c r="V9" s="87"/>
      <c r="W9" s="3"/>
      <c r="X9" s="98" t="s">
        <v>2</v>
      </c>
      <c r="Y9" s="99"/>
      <c r="Z9" s="99"/>
      <c r="AA9" s="99"/>
      <c r="AB9" s="100"/>
      <c r="AC9" s="101"/>
      <c r="AD9" s="102"/>
      <c r="AE9" s="102"/>
      <c r="AF9" s="102"/>
      <c r="AG9" s="103"/>
    </row>
    <row r="10" spans="1:33" ht="15.75" thickBot="1" x14ac:dyDescent="0.3">
      <c r="A10" s="4" t="s">
        <v>3</v>
      </c>
      <c r="B10" s="79">
        <v>2594109114</v>
      </c>
      <c r="C10" s="80"/>
      <c r="D10" s="80"/>
      <c r="E10" s="80"/>
      <c r="F10" s="80"/>
      <c r="G10" s="80"/>
      <c r="H10" s="80"/>
      <c r="I10" s="81"/>
      <c r="J10" s="3"/>
      <c r="K10" s="82" t="s">
        <v>4</v>
      </c>
      <c r="L10" s="83"/>
      <c r="M10" s="83"/>
      <c r="N10" s="83"/>
      <c r="O10" s="84"/>
      <c r="P10" s="85" t="s">
        <v>38</v>
      </c>
      <c r="Q10" s="86"/>
      <c r="R10" s="86"/>
      <c r="S10" s="86"/>
      <c r="T10" s="86"/>
      <c r="U10" s="86"/>
      <c r="V10" s="87"/>
      <c r="W10" s="3"/>
      <c r="X10" s="82" t="s">
        <v>5</v>
      </c>
      <c r="Y10" s="83"/>
      <c r="Z10" s="83"/>
      <c r="AA10" s="83"/>
      <c r="AB10" s="84"/>
      <c r="AC10" s="85"/>
      <c r="AD10" s="86"/>
      <c r="AE10" s="86"/>
      <c r="AF10" s="86"/>
      <c r="AG10" s="87"/>
    </row>
    <row r="11" spans="1:33" ht="15.75" thickBot="1" x14ac:dyDescent="0.3"/>
    <row r="12" spans="1:33" ht="16.5" thickBot="1" x14ac:dyDescent="0.3">
      <c r="A12" s="5" t="s">
        <v>6</v>
      </c>
      <c r="B12" s="12">
        <f>DATA!$I$4</f>
        <v>46023</v>
      </c>
      <c r="C12" s="12">
        <f>IF(B12&lt;DATA!$C$4,B12+1,"")</f>
        <v>46024</v>
      </c>
      <c r="D12" s="12">
        <f>IF(C12&lt;DATA!$C$4,C12+1,"")</f>
        <v>46025</v>
      </c>
      <c r="E12" s="12">
        <f>IF(D12&lt;DATA!$C$4,D12+1,"")</f>
        <v>46026</v>
      </c>
      <c r="F12" s="12">
        <f>IF(E12&lt;DATA!$C$4,E12+1,"")</f>
        <v>46027</v>
      </c>
      <c r="G12" s="12">
        <f>IF(F12&lt;DATA!$C$4,F12+1,"")</f>
        <v>46028</v>
      </c>
      <c r="H12" s="12">
        <f>IF(G12&lt;DATA!$C$4,G12+1,"")</f>
        <v>46029</v>
      </c>
      <c r="I12" s="12">
        <f>IF(H12&lt;DATA!$C$4,H12+1,"")</f>
        <v>46030</v>
      </c>
      <c r="J12" s="12">
        <f>IF(I12&lt;DATA!$C$4,I12+1,"")</f>
        <v>46031</v>
      </c>
      <c r="K12" s="12">
        <f>IF(J12&lt;DATA!$C$4,J12+1,"")</f>
        <v>46032</v>
      </c>
      <c r="L12" s="12">
        <f>IF(K12&lt;DATA!$C$4,K12+1,"")</f>
        <v>46033</v>
      </c>
      <c r="M12" s="12">
        <f>IF(L12&lt;DATA!$C$4,L12+1,"")</f>
        <v>46034</v>
      </c>
      <c r="N12" s="12">
        <f>IF(M12&lt;DATA!$C$4,M12+1,"")</f>
        <v>46035</v>
      </c>
      <c r="O12" s="12">
        <f>IF(N12&lt;DATA!$C$4,N12+1,"")</f>
        <v>46036</v>
      </c>
      <c r="P12" s="12">
        <f>IF(O12&lt;DATA!$C$4,O12+1,"")</f>
        <v>46037</v>
      </c>
      <c r="Q12" s="12">
        <f>IF(P12&lt;DATA!$C$4,P12+1,"")</f>
        <v>46038</v>
      </c>
      <c r="R12" s="12">
        <f>IF(Q12&lt;DATA!$C$4,Q12+1,"")</f>
        <v>46039</v>
      </c>
      <c r="S12" s="12">
        <f>IF(R12&lt;DATA!$C$4,R12+1,"")</f>
        <v>46040</v>
      </c>
      <c r="T12" s="12">
        <f>IF(S12&lt;DATA!$C$4,S12+1,"")</f>
        <v>46041</v>
      </c>
      <c r="U12" s="12">
        <f>IF(T12&lt;DATA!$C$4,T12+1,"")</f>
        <v>46042</v>
      </c>
      <c r="V12" s="12">
        <f>IF(U12&lt;DATA!$C$4,U12+1,"")</f>
        <v>46043</v>
      </c>
      <c r="W12" s="12">
        <f>IF(V12&lt;DATA!$C$4,V12+1,"")</f>
        <v>46044</v>
      </c>
      <c r="X12" s="12">
        <f>IF(W12&lt;DATA!$C$4,W12+1,"")</f>
        <v>46045</v>
      </c>
      <c r="Y12" s="12">
        <f>IF(X12&lt;DATA!$C$4,X12+1,"")</f>
        <v>46046</v>
      </c>
      <c r="Z12" s="12">
        <f>IF(Y12&lt;DATA!$C$4,Y12+1,"")</f>
        <v>46047</v>
      </c>
      <c r="AA12" s="12">
        <f>IF(Z12&lt;DATA!$C$4,Z12+1,"")</f>
        <v>46048</v>
      </c>
      <c r="AB12" s="12">
        <f>IF(AA12&lt;DATA!$C$4,AA12+1,"")</f>
        <v>46049</v>
      </c>
      <c r="AC12" s="12">
        <f>IF(AB12&lt;DATA!$C$4,AB12+1,"")</f>
        <v>46050</v>
      </c>
      <c r="AD12" s="12">
        <f>IF(AC12&lt;DATA!$C$4,AC12+1,"")</f>
        <v>46051</v>
      </c>
      <c r="AE12" s="12">
        <f>IF(AD12&lt;DATA!$C$4,AD12+1,"")</f>
        <v>46052</v>
      </c>
      <c r="AF12" s="12">
        <f>IF(AE12&lt;DATA!$C$4,AE12+1,"")</f>
        <v>46053</v>
      </c>
      <c r="AG12" s="88" t="s">
        <v>7</v>
      </c>
    </row>
    <row r="13" spans="1:33" ht="16.5" thickBot="1" x14ac:dyDescent="0.3">
      <c r="A13" s="5" t="s">
        <v>8</v>
      </c>
      <c r="B13" s="11" t="str">
        <f t="shared" ref="B13:AF13" si="0">TEXT(B12,"ddd")</f>
        <v>Thu</v>
      </c>
      <c r="C13" s="11" t="str">
        <f t="shared" si="0"/>
        <v>Fri</v>
      </c>
      <c r="D13" s="11" t="str">
        <f t="shared" si="0"/>
        <v>Sat</v>
      </c>
      <c r="E13" s="11" t="str">
        <f t="shared" si="0"/>
        <v>Sun</v>
      </c>
      <c r="F13" s="11" t="str">
        <f t="shared" si="0"/>
        <v>Mon</v>
      </c>
      <c r="G13" s="11" t="str">
        <f t="shared" si="0"/>
        <v>Tue</v>
      </c>
      <c r="H13" s="11" t="str">
        <f t="shared" si="0"/>
        <v>Wed</v>
      </c>
      <c r="I13" s="11" t="str">
        <f t="shared" si="0"/>
        <v>Thu</v>
      </c>
      <c r="J13" s="11" t="str">
        <f t="shared" si="0"/>
        <v>Fri</v>
      </c>
      <c r="K13" s="11" t="str">
        <f t="shared" si="0"/>
        <v>Sat</v>
      </c>
      <c r="L13" s="11" t="str">
        <f t="shared" si="0"/>
        <v>Sun</v>
      </c>
      <c r="M13" s="11" t="str">
        <f t="shared" si="0"/>
        <v>Mon</v>
      </c>
      <c r="N13" s="11" t="str">
        <f t="shared" si="0"/>
        <v>Tue</v>
      </c>
      <c r="O13" s="11" t="str">
        <f t="shared" si="0"/>
        <v>Wed</v>
      </c>
      <c r="P13" s="11" t="str">
        <f t="shared" si="0"/>
        <v>Thu</v>
      </c>
      <c r="Q13" s="11" t="str">
        <f t="shared" si="0"/>
        <v>Fri</v>
      </c>
      <c r="R13" s="11" t="str">
        <f t="shared" si="0"/>
        <v>Sat</v>
      </c>
      <c r="S13" s="11" t="str">
        <f t="shared" si="0"/>
        <v>Sun</v>
      </c>
      <c r="T13" s="11" t="str">
        <f t="shared" si="0"/>
        <v>Mon</v>
      </c>
      <c r="U13" s="11" t="str">
        <f t="shared" si="0"/>
        <v>Tue</v>
      </c>
      <c r="V13" s="11" t="str">
        <f t="shared" si="0"/>
        <v>Wed</v>
      </c>
      <c r="W13" s="11" t="str">
        <f t="shared" si="0"/>
        <v>Thu</v>
      </c>
      <c r="X13" s="11" t="str">
        <f t="shared" si="0"/>
        <v>Fri</v>
      </c>
      <c r="Y13" s="11" t="str">
        <f t="shared" si="0"/>
        <v>Sat</v>
      </c>
      <c r="Z13" s="11" t="str">
        <f t="shared" si="0"/>
        <v>Sun</v>
      </c>
      <c r="AA13" s="11" t="str">
        <f t="shared" si="0"/>
        <v>Mon</v>
      </c>
      <c r="AB13" s="11" t="str">
        <f t="shared" si="0"/>
        <v>Tue</v>
      </c>
      <c r="AC13" s="11" t="str">
        <f t="shared" si="0"/>
        <v>Wed</v>
      </c>
      <c r="AD13" s="11" t="str">
        <f t="shared" si="0"/>
        <v>Thu</v>
      </c>
      <c r="AE13" s="11" t="str">
        <f t="shared" si="0"/>
        <v>Fri</v>
      </c>
      <c r="AF13" s="11" t="str">
        <f t="shared" si="0"/>
        <v>Sat</v>
      </c>
      <c r="AG13" s="89"/>
    </row>
    <row r="14" spans="1:33" ht="16.5" thickBot="1" x14ac:dyDescent="0.3">
      <c r="A14" s="6" t="s">
        <v>9</v>
      </c>
      <c r="B14" s="13">
        <v>8</v>
      </c>
      <c r="C14" s="13">
        <v>8</v>
      </c>
      <c r="D14" s="13">
        <v>8</v>
      </c>
      <c r="E14" s="13">
        <v>8</v>
      </c>
      <c r="F14" s="13">
        <v>8</v>
      </c>
      <c r="G14" s="13"/>
      <c r="H14" s="13">
        <v>8</v>
      </c>
      <c r="I14" s="13">
        <v>8</v>
      </c>
      <c r="J14" s="13">
        <v>8</v>
      </c>
      <c r="K14" s="13">
        <v>8</v>
      </c>
      <c r="L14" s="13">
        <v>8</v>
      </c>
      <c r="M14" s="13">
        <v>8</v>
      </c>
      <c r="N14" s="13"/>
      <c r="O14" s="13">
        <v>8</v>
      </c>
      <c r="P14" s="13">
        <v>8</v>
      </c>
      <c r="Q14" s="13">
        <v>8</v>
      </c>
      <c r="R14" s="13">
        <v>8</v>
      </c>
      <c r="S14" s="13">
        <v>8</v>
      </c>
      <c r="T14" s="13">
        <v>8</v>
      </c>
      <c r="U14" s="13"/>
      <c r="V14" s="13">
        <v>8</v>
      </c>
      <c r="W14" s="13">
        <v>8</v>
      </c>
      <c r="X14" s="13">
        <v>8</v>
      </c>
      <c r="Y14" s="13">
        <v>8</v>
      </c>
      <c r="Z14" s="13">
        <v>8</v>
      </c>
      <c r="AA14" s="13">
        <v>8</v>
      </c>
      <c r="AB14" s="13"/>
      <c r="AC14" s="13">
        <v>8</v>
      </c>
      <c r="AD14" s="13">
        <v>8</v>
      </c>
      <c r="AE14" s="13">
        <v>8</v>
      </c>
      <c r="AF14" s="13"/>
      <c r="AG14" s="5">
        <f>SUM(B14:AF14)</f>
        <v>208</v>
      </c>
    </row>
    <row r="15" spans="1:33" ht="16.5" thickBot="1" x14ac:dyDescent="0.3">
      <c r="A15" s="7" t="s">
        <v>10</v>
      </c>
      <c r="B15" s="13"/>
      <c r="C15" s="13"/>
      <c r="D15" s="13"/>
      <c r="E15" s="13"/>
      <c r="F15" s="13"/>
      <c r="G15" s="13"/>
      <c r="H15" s="27"/>
      <c r="I15" s="13"/>
      <c r="J15" s="13"/>
      <c r="K15" s="13"/>
      <c r="L15" s="13"/>
      <c r="M15" s="13"/>
      <c r="N15" s="13"/>
      <c r="O15" s="27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8">
        <f>SUM(B15:AF15)</f>
        <v>0</v>
      </c>
    </row>
    <row r="16" spans="1:33" ht="15.75" thickBot="1" x14ac:dyDescent="0.3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6.5" thickBot="1" x14ac:dyDescent="0.3">
      <c r="A17" s="1"/>
      <c r="B17" s="90" t="s">
        <v>11</v>
      </c>
      <c r="C17" s="91"/>
      <c r="D17" s="91"/>
      <c r="E17" s="91"/>
      <c r="F17" s="92"/>
      <c r="G17" s="90">
        <f>COUNTIF(B14:AF14,"A")</f>
        <v>0</v>
      </c>
      <c r="H17" s="91"/>
      <c r="I17" s="92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90" t="s">
        <v>12</v>
      </c>
      <c r="V17" s="91"/>
      <c r="W17" s="91"/>
      <c r="X17" s="91"/>
      <c r="Y17" s="91"/>
      <c r="Z17" s="92"/>
      <c r="AA17" s="90">
        <f>AG14+AG15</f>
        <v>208</v>
      </c>
      <c r="AB17" s="91"/>
      <c r="AC17" s="91"/>
      <c r="AD17" s="92"/>
      <c r="AE17" s="1"/>
      <c r="AF17" s="1"/>
      <c r="AG17" s="1"/>
    </row>
    <row r="18" spans="1:33" ht="15.75" thickBo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9.5" thickBot="1" x14ac:dyDescent="0.35">
      <c r="A19" s="93" t="s">
        <v>13</v>
      </c>
      <c r="B19" s="94"/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4"/>
      <c r="AB19" s="94"/>
      <c r="AC19" s="94"/>
      <c r="AD19" s="94"/>
      <c r="AE19" s="94"/>
      <c r="AF19" s="94"/>
      <c r="AG19" s="95"/>
    </row>
    <row r="20" spans="1:33" ht="19.5" thickBot="1" x14ac:dyDescent="0.35">
      <c r="A20" s="76" t="s">
        <v>14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8"/>
      <c r="Q20" s="76" t="s">
        <v>15</v>
      </c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77"/>
      <c r="AD20" s="77"/>
      <c r="AE20" s="77"/>
      <c r="AF20" s="77"/>
      <c r="AG20" s="78"/>
    </row>
    <row r="21" spans="1:33" x14ac:dyDescent="0.25">
      <c r="A21" s="65" t="s">
        <v>16</v>
      </c>
      <c r="B21" s="66"/>
      <c r="C21" s="66"/>
      <c r="D21" s="66"/>
      <c r="E21" s="67"/>
      <c r="F21" s="68">
        <v>1000</v>
      </c>
      <c r="G21" s="69"/>
      <c r="H21" s="69"/>
      <c r="I21" s="69"/>
      <c r="J21" s="69"/>
      <c r="K21" s="69"/>
      <c r="L21" s="69"/>
      <c r="M21" s="69"/>
      <c r="N21" s="69"/>
      <c r="O21" s="69"/>
      <c r="P21" s="70"/>
      <c r="Q21" s="65" t="s">
        <v>17</v>
      </c>
      <c r="R21" s="66"/>
      <c r="S21" s="66"/>
      <c r="T21" s="66"/>
      <c r="U21" s="66"/>
      <c r="V21" s="66"/>
      <c r="W21" s="66"/>
      <c r="X21" s="66"/>
      <c r="Y21" s="66"/>
      <c r="Z21" s="67"/>
      <c r="AA21" s="71">
        <f>F21/30*G17*2</f>
        <v>0</v>
      </c>
      <c r="AB21" s="71"/>
      <c r="AC21" s="71"/>
      <c r="AD21" s="71"/>
      <c r="AE21" s="71"/>
      <c r="AF21" s="71"/>
      <c r="AG21" s="72"/>
    </row>
    <row r="22" spans="1:33" x14ac:dyDescent="0.25">
      <c r="A22" s="49" t="s">
        <v>18</v>
      </c>
      <c r="B22" s="50"/>
      <c r="C22" s="50"/>
      <c r="D22" s="50"/>
      <c r="E22" s="51"/>
      <c r="F22" s="52">
        <v>0</v>
      </c>
      <c r="G22" s="53"/>
      <c r="H22" s="53"/>
      <c r="I22" s="53"/>
      <c r="J22" s="53"/>
      <c r="K22" s="53"/>
      <c r="L22" s="53"/>
      <c r="M22" s="53"/>
      <c r="N22" s="53"/>
      <c r="O22" s="53"/>
      <c r="P22" s="54"/>
      <c r="Q22" s="73" t="s">
        <v>19</v>
      </c>
      <c r="R22" s="74"/>
      <c r="S22" s="74"/>
      <c r="T22" s="74"/>
      <c r="U22" s="74"/>
      <c r="V22" s="74"/>
      <c r="W22" s="74"/>
      <c r="X22" s="74"/>
      <c r="Y22" s="74"/>
      <c r="Z22" s="75"/>
      <c r="AA22" s="55">
        <v>0</v>
      </c>
      <c r="AB22" s="55"/>
      <c r="AC22" s="55"/>
      <c r="AD22" s="55"/>
      <c r="AE22" s="55"/>
      <c r="AF22" s="55"/>
      <c r="AG22" s="56"/>
    </row>
    <row r="23" spans="1:33" x14ac:dyDescent="0.25">
      <c r="A23" s="49" t="s">
        <v>10</v>
      </c>
      <c r="B23" s="50"/>
      <c r="C23" s="50"/>
      <c r="D23" s="50"/>
      <c r="E23" s="51"/>
      <c r="F23" s="52">
        <f>F21/30/8*1.5*AG15</f>
        <v>0</v>
      </c>
      <c r="G23" s="53"/>
      <c r="H23" s="53"/>
      <c r="I23" s="53"/>
      <c r="J23" s="53"/>
      <c r="K23" s="53"/>
      <c r="L23" s="53"/>
      <c r="M23" s="53"/>
      <c r="N23" s="53"/>
      <c r="O23" s="53"/>
      <c r="P23" s="54"/>
      <c r="Q23" s="49" t="s">
        <v>20</v>
      </c>
      <c r="R23" s="50"/>
      <c r="S23" s="50"/>
      <c r="T23" s="50"/>
      <c r="U23" s="50"/>
      <c r="V23" s="50"/>
      <c r="W23" s="50"/>
      <c r="X23" s="50"/>
      <c r="Y23" s="50"/>
      <c r="Z23" s="51"/>
      <c r="AA23" s="55">
        <v>0</v>
      </c>
      <c r="AB23" s="55"/>
      <c r="AC23" s="55"/>
      <c r="AD23" s="55"/>
      <c r="AE23" s="55"/>
      <c r="AF23" s="55"/>
      <c r="AG23" s="56"/>
    </row>
    <row r="24" spans="1:33" ht="15.75" thickBot="1" x14ac:dyDescent="0.3">
      <c r="A24" s="57" t="s">
        <v>21</v>
      </c>
      <c r="B24" s="58"/>
      <c r="C24" s="58"/>
      <c r="D24" s="58"/>
      <c r="E24" s="59"/>
      <c r="F24" s="60">
        <f>SUM(F21:P23)</f>
        <v>1000</v>
      </c>
      <c r="G24" s="61"/>
      <c r="H24" s="61"/>
      <c r="I24" s="61"/>
      <c r="J24" s="61"/>
      <c r="K24" s="61"/>
      <c r="L24" s="61"/>
      <c r="M24" s="61"/>
      <c r="N24" s="61"/>
      <c r="O24" s="61"/>
      <c r="P24" s="62"/>
      <c r="Q24" s="57" t="s">
        <v>21</v>
      </c>
      <c r="R24" s="58"/>
      <c r="S24" s="58"/>
      <c r="T24" s="58"/>
      <c r="U24" s="58"/>
      <c r="V24" s="58"/>
      <c r="W24" s="58"/>
      <c r="X24" s="58"/>
      <c r="Y24" s="58"/>
      <c r="Z24" s="59"/>
      <c r="AA24" s="63">
        <f>SUM(AA21:AG23)</f>
        <v>0</v>
      </c>
      <c r="AB24" s="63"/>
      <c r="AC24" s="63"/>
      <c r="AD24" s="63"/>
      <c r="AE24" s="63"/>
      <c r="AF24" s="63"/>
      <c r="AG24" s="64"/>
    </row>
    <row r="25" spans="1:33" ht="15.75" thickBo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21.75" thickBot="1" x14ac:dyDescent="0.3">
      <c r="A26" s="9"/>
      <c r="B26" s="9"/>
      <c r="C26" s="9"/>
      <c r="D26" s="9"/>
      <c r="E26" s="44" t="s">
        <v>22</v>
      </c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6"/>
      <c r="S26" s="47">
        <f>F24-AA24</f>
        <v>1000</v>
      </c>
      <c r="T26" s="45"/>
      <c r="U26" s="45"/>
      <c r="V26" s="45"/>
      <c r="W26" s="45"/>
      <c r="X26" s="45"/>
      <c r="Y26" s="45"/>
      <c r="Z26" s="46"/>
      <c r="AA26" s="10"/>
      <c r="AB26" s="10"/>
      <c r="AC26" s="10"/>
      <c r="AD26" s="10"/>
      <c r="AE26" s="10"/>
      <c r="AF26" s="10"/>
      <c r="AG26" s="10"/>
    </row>
    <row r="36" spans="2:28" ht="18.75" x14ac:dyDescent="0.3">
      <c r="B36" s="48" t="s">
        <v>23</v>
      </c>
      <c r="C36" s="48"/>
      <c r="D36" s="48"/>
      <c r="E36" s="48"/>
      <c r="F36" s="48"/>
      <c r="G36" s="48"/>
      <c r="H36" s="48"/>
      <c r="V36" s="48" t="s">
        <v>24</v>
      </c>
      <c r="W36" s="48"/>
      <c r="X36" s="48"/>
      <c r="Y36" s="48"/>
      <c r="Z36" s="48"/>
      <c r="AA36" s="48"/>
      <c r="AB36" s="48"/>
    </row>
  </sheetData>
  <mergeCells count="39">
    <mergeCell ref="A7:AG7"/>
    <mergeCell ref="B9:I9"/>
    <mergeCell ref="K9:O9"/>
    <mergeCell ref="P9:V9"/>
    <mergeCell ref="X9:AB9"/>
    <mergeCell ref="AC9:AG9"/>
    <mergeCell ref="A20:P20"/>
    <mergeCell ref="Q20:AG20"/>
    <mergeCell ref="B10:I10"/>
    <mergeCell ref="K10:O10"/>
    <mergeCell ref="P10:V10"/>
    <mergeCell ref="X10:AB10"/>
    <mergeCell ref="AC10:AG10"/>
    <mergeCell ref="AG12:AG13"/>
    <mergeCell ref="B17:F17"/>
    <mergeCell ref="G17:I17"/>
    <mergeCell ref="U17:Z17"/>
    <mergeCell ref="AA17:AD17"/>
    <mergeCell ref="A19:AG19"/>
    <mergeCell ref="A21:E21"/>
    <mergeCell ref="F21:P21"/>
    <mergeCell ref="Q21:Z21"/>
    <mergeCell ref="AA21:AG21"/>
    <mergeCell ref="A22:E22"/>
    <mergeCell ref="F22:P22"/>
    <mergeCell ref="Q22:Z22"/>
    <mergeCell ref="AA22:AG22"/>
    <mergeCell ref="E26:R26"/>
    <mergeCell ref="S26:Z26"/>
    <mergeCell ref="B36:H36"/>
    <mergeCell ref="V36:AB36"/>
    <mergeCell ref="A23:E23"/>
    <mergeCell ref="F23:P23"/>
    <mergeCell ref="Q23:Z23"/>
    <mergeCell ref="AA23:AG23"/>
    <mergeCell ref="A24:E24"/>
    <mergeCell ref="F24:P24"/>
    <mergeCell ref="Q24:Z24"/>
    <mergeCell ref="AA24:AG24"/>
  </mergeCells>
  <conditionalFormatting sqref="B14:AF14">
    <cfRule type="containsText" dxfId="4" priority="1" operator="containsText" text="H">
      <formula>NOT(ISERROR(SEARCH("H",B14)))</formula>
    </cfRule>
  </conditionalFormatting>
  <conditionalFormatting sqref="B14:AF15">
    <cfRule type="containsText" dxfId="3" priority="2" operator="containsText" text="M">
      <formula>NOT(ISERROR(SEARCH("M",B14)))</formula>
    </cfRule>
    <cfRule type="expression" dxfId="2" priority="3">
      <formula>B$13="Fri"</formula>
    </cfRule>
    <cfRule type="containsText" dxfId="1" priority="4" operator="containsText" text="A">
      <formula>NOT(ISERROR(SEARCH("A",B14)))</formula>
    </cfRule>
  </conditionalFormatting>
  <conditionalFormatting sqref="F24:P24">
    <cfRule type="expression" dxfId="0" priority="9">
      <formula>B$13="Fri"</formula>
    </cfRule>
  </conditionalFormatting>
  <dataValidations count="1">
    <dataValidation errorStyle="information" allowBlank="1" showInputMessage="1" showErrorMessage="1" sqref="K13" xr:uid="{26BE78B0-94EC-442F-9143-B7456D218105}"/>
  </dataValidations>
  <pageMargins left="0.7" right="0.7" top="0.75" bottom="0.75" header="0.3" footer="0.3"/>
  <pageSetup paperSize="9" scale="79" orientation="landscape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information" allowBlank="1" showInputMessage="1" xr:uid="{FE8243DC-4F83-480C-8571-19A2E760FE36}">
          <x14:formula1>
            <xm:f>DATA!$A$3:$A$13</xm:f>
          </x14:formula1>
          <xm:sqref>A7:AG7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DATA</vt:lpstr>
      <vt:lpstr> JAHANGIR</vt:lpstr>
      <vt:lpstr>BHIM</vt:lpstr>
      <vt:lpstr>ROHIT KUMAR</vt:lpstr>
      <vt:lpstr>NABIULLAH</vt:lpstr>
      <vt:lpstr>DHARMENDRA</vt:lpstr>
      <vt:lpstr>AWADHESH </vt:lpstr>
      <vt:lpstr>SADDAM</vt:lpstr>
      <vt:lpstr>RAJESH</vt:lpstr>
      <vt:lpstr>MOHSIN</vt:lpstr>
      <vt:lpstr>SABIR</vt:lpstr>
      <vt:lpstr>PALTAN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 CI7</dc:creator>
  <cp:lastModifiedBy>fastep arabia</cp:lastModifiedBy>
  <cp:lastPrinted>2026-01-25T05:30:02Z</cp:lastPrinted>
  <dcterms:created xsi:type="dcterms:W3CDTF">2025-04-06T07:39:46Z</dcterms:created>
  <dcterms:modified xsi:type="dcterms:W3CDTF">2026-01-25T06:40:58Z</dcterms:modified>
</cp:coreProperties>
</file>