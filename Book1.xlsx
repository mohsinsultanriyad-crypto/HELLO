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hsi\OneDrive\Desktop\"/>
    </mc:Choice>
  </mc:AlternateContent>
  <xr:revisionPtr revIDLastSave="0" documentId="13_ncr:1_{A4CA2E15-41DF-4139-8118-601950A03B14}" xr6:coauthVersionLast="47" xr6:coauthVersionMax="47" xr10:uidLastSave="{00000000-0000-0000-0000-000000000000}"/>
  <bookViews>
    <workbookView xWindow="-120" yWindow="-120" windowWidth="38640" windowHeight="21120" xr2:uid="{4AE71E13-96A9-4B3B-9D6C-3F0C253BF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1" l="1" a="1"/>
  <c r="W10" i="1" s="1"/>
  <c r="M10" i="1" a="1"/>
  <c r="M10" i="1" s="1"/>
  <c r="K10" i="1"/>
  <c r="Z89" i="1"/>
  <c r="AA89" i="1" s="1"/>
  <c r="Z86" i="1"/>
  <c r="AA86" i="1" s="1"/>
  <c r="Z83" i="1"/>
  <c r="AA83" i="1" s="1"/>
  <c r="Z80" i="1"/>
  <c r="AA80" i="1" s="1"/>
  <c r="Z77" i="1"/>
  <c r="AA77" i="1" s="1"/>
  <c r="Z74" i="1"/>
  <c r="AA74" i="1" s="1"/>
  <c r="Z71" i="1"/>
  <c r="AA71" i="1" s="1"/>
  <c r="Z68" i="1"/>
  <c r="AA68" i="1" s="1"/>
  <c r="Z65" i="1"/>
  <c r="AA65" i="1" s="1"/>
  <c r="Z62" i="1"/>
  <c r="AA62" i="1" s="1"/>
  <c r="Z59" i="1"/>
  <c r="AA59" i="1" s="1"/>
  <c r="Z56" i="1"/>
  <c r="AA56" i="1" s="1"/>
  <c r="Z53" i="1"/>
  <c r="AA53" i="1" s="1"/>
  <c r="Z50" i="1"/>
  <c r="AA50" i="1" s="1"/>
  <c r="Z47" i="1"/>
  <c r="AA47" i="1" s="1"/>
  <c r="Z44" i="1"/>
  <c r="AA44" i="1" s="1"/>
  <c r="Z41" i="1"/>
  <c r="AA41" i="1" s="1"/>
  <c r="Z38" i="1"/>
  <c r="AA38" i="1" s="1"/>
  <c r="Z35" i="1"/>
  <c r="AA35" i="1" s="1"/>
  <c r="Z32" i="1"/>
  <c r="AA32" i="1" s="1"/>
  <c r="Z29" i="1"/>
  <c r="AA29" i="1" s="1"/>
  <c r="Z26" i="1"/>
  <c r="AA26" i="1" s="1"/>
  <c r="Z23" i="1"/>
  <c r="AA23" i="1" s="1"/>
  <c r="Z20" i="1"/>
  <c r="AA20" i="1" s="1"/>
  <c r="Z17" i="1"/>
  <c r="AA17" i="1" s="1"/>
  <c r="Z14" i="1"/>
  <c r="AA14" i="1" s="1"/>
  <c r="Z11" i="1"/>
  <c r="AA11" i="1" s="1"/>
  <c r="Z8" i="1"/>
  <c r="U10" i="1" s="1"/>
  <c r="P89" i="1"/>
  <c r="Q89" i="1" s="1"/>
  <c r="P86" i="1"/>
  <c r="Q86" i="1" s="1"/>
  <c r="P83" i="1"/>
  <c r="Q83" i="1" s="1"/>
  <c r="P80" i="1"/>
  <c r="Q80" i="1" s="1"/>
  <c r="P77" i="1"/>
  <c r="Q77" i="1" s="1"/>
  <c r="P74" i="1"/>
  <c r="Q74" i="1" s="1"/>
  <c r="P71" i="1"/>
  <c r="Q71" i="1" s="1"/>
  <c r="P68" i="1"/>
  <c r="Q68" i="1" s="1"/>
  <c r="P65" i="1"/>
  <c r="Q65" i="1" s="1"/>
  <c r="P62" i="1"/>
  <c r="Q62" i="1" s="1"/>
  <c r="P59" i="1"/>
  <c r="Q59" i="1" s="1"/>
  <c r="P56" i="1"/>
  <c r="Q56" i="1" s="1"/>
  <c r="P53" i="1"/>
  <c r="Q53" i="1" s="1"/>
  <c r="P50" i="1"/>
  <c r="Q50" i="1" s="1"/>
  <c r="P47" i="1"/>
  <c r="Q47" i="1" s="1"/>
  <c r="P44" i="1"/>
  <c r="Q44" i="1" s="1"/>
  <c r="P41" i="1"/>
  <c r="Q41" i="1" s="1"/>
  <c r="P38" i="1"/>
  <c r="Q38" i="1" s="1"/>
  <c r="P35" i="1"/>
  <c r="Q35" i="1" s="1"/>
  <c r="P32" i="1"/>
  <c r="Q32" i="1" s="1"/>
  <c r="P29" i="1"/>
  <c r="Q29" i="1" s="1"/>
  <c r="P26" i="1"/>
  <c r="Q26" i="1" s="1"/>
  <c r="P23" i="1"/>
  <c r="Q23" i="1" s="1"/>
  <c r="P20" i="1"/>
  <c r="Q20" i="1" s="1"/>
  <c r="P17" i="1"/>
  <c r="Q17" i="1" s="1"/>
  <c r="P14" i="1"/>
  <c r="Q14" i="1" s="1"/>
  <c r="P11" i="1"/>
  <c r="Q11" i="1" s="1"/>
  <c r="P8" i="1"/>
  <c r="Q8" i="1" s="1"/>
  <c r="G12" i="1"/>
  <c r="H12" i="1" s="1"/>
  <c r="G15" i="1"/>
  <c r="H15" i="1" s="1"/>
  <c r="G18" i="1"/>
  <c r="H18" i="1" s="1"/>
  <c r="G21" i="1"/>
  <c r="H21" i="1" s="1"/>
  <c r="G24" i="1"/>
  <c r="H24" i="1" s="1"/>
  <c r="G27" i="1"/>
  <c r="H27" i="1" s="1"/>
  <c r="G30" i="1"/>
  <c r="H30" i="1" s="1"/>
  <c r="G33" i="1"/>
  <c r="H33" i="1"/>
  <c r="G36" i="1"/>
  <c r="H36" i="1" s="1"/>
  <c r="G39" i="1"/>
  <c r="H39" i="1" s="1"/>
  <c r="G42" i="1"/>
  <c r="H42" i="1" s="1"/>
  <c r="G45" i="1"/>
  <c r="H45" i="1" s="1"/>
  <c r="G48" i="1"/>
  <c r="H48" i="1" s="1"/>
  <c r="G51" i="1"/>
  <c r="H51" i="1" s="1"/>
  <c r="G54" i="1"/>
  <c r="H54" i="1" s="1"/>
  <c r="G57" i="1"/>
  <c r="H57" i="1"/>
  <c r="G60" i="1"/>
  <c r="H60" i="1" s="1"/>
  <c r="G63" i="1"/>
  <c r="H63" i="1" s="1"/>
  <c r="G66" i="1"/>
  <c r="H66" i="1" s="1"/>
  <c r="G69" i="1"/>
  <c r="H69" i="1" s="1"/>
  <c r="G72" i="1"/>
  <c r="H72" i="1" s="1"/>
  <c r="G75" i="1"/>
  <c r="H75" i="1" s="1"/>
  <c r="G78" i="1"/>
  <c r="H78" i="1" s="1"/>
  <c r="G81" i="1"/>
  <c r="H81" i="1"/>
  <c r="G84" i="1"/>
  <c r="H84" i="1" s="1"/>
  <c r="G87" i="1"/>
  <c r="H87" i="1" s="1"/>
  <c r="G90" i="1"/>
  <c r="H90" i="1" s="1"/>
  <c r="G9" i="1"/>
  <c r="H9" i="1" s="1"/>
  <c r="G2" i="1"/>
  <c r="H2" i="1"/>
  <c r="AA8" i="1" l="1"/>
  <c r="B11" i="1"/>
  <c r="D11" i="1" a="1"/>
  <c r="D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<sst xmlns="http://schemas.openxmlformats.org/spreadsheetml/2006/main" count="354" uniqueCount="10">
  <si>
    <t>Sl. No.</t>
  </si>
  <si>
    <t>Emp ID</t>
  </si>
  <si>
    <t xml:space="preserve">Name </t>
  </si>
  <si>
    <t>Ideal Working Hours</t>
  </si>
  <si>
    <t>Check In Time</t>
  </si>
  <si>
    <t>Check Out Time</t>
  </si>
  <si>
    <t>Working Hours</t>
  </si>
  <si>
    <t xml:space="preserve">Over Time </t>
  </si>
  <si>
    <t>Total Working Hours</t>
  </si>
  <si>
    <t>Total 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</si>
</sst>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Georgia"/>
      <family val="1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165" fontId="0" fillId="0" borderId="0" xfId="0" applyNumberFormat="1"/>
    <xf numFmtId="164" fontId="0" fillId="3" borderId="1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15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3" xfId="0" applyFont="1" applyBorder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5" fontId="3" fillId="2" borderId="14" xfId="0" applyNumberFormat="1" applyFont="1" applyFill="1" applyBorder="1" applyAlignment="1">
      <alignment horizontal="center" vertical="center"/>
    </xf>
    <xf numFmtId="15" fontId="3" fillId="2" borderId="15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64" fontId="0" fillId="3" borderId="13" xfId="0" applyNumberFormat="1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0" borderId="0" xfId="0" applyBorder="1"/>
    <xf numFmtId="0" fontId="1" fillId="4" borderId="8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1" fillId="4" borderId="2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3</xdr:col>
      <xdr:colOff>619125</xdr:colOff>
      <xdr:row>6</xdr:row>
      <xdr:rowOff>416103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4250E8-E5E6-4CFC-DD77-F2A355B89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3105150" cy="1378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26BE-DD1E-4DE2-AB3A-51BEC002EC7F}">
  <dimension ref="A1:AA90"/>
  <sheetViews>
    <sheetView tabSelected="1" zoomScaleNormal="100" workbookViewId="0">
      <selection activeCell="E1" sqref="E1:AA6"/>
    </sheetView>
  </sheetViews>
  <sheetFormatPr defaultRowHeight="15" x14ac:dyDescent="0.25"/>
  <cols>
    <col min="2" max="2" width="15.42578125" customWidth="1"/>
    <col min="3" max="3" width="15" customWidth="1"/>
    <col min="4" max="4" width="15.140625" bestFit="1" customWidth="1"/>
    <col min="5" max="5" width="13.85546875" bestFit="1" customWidth="1"/>
    <col min="6" max="6" width="15.42578125" bestFit="1" customWidth="1"/>
    <col min="7" max="7" width="14.42578125" bestFit="1" customWidth="1"/>
    <col min="8" max="8" width="10.5703125" bestFit="1" customWidth="1"/>
    <col min="9" max="9" width="19.140625" bestFit="1" customWidth="1"/>
    <col min="12" max="12" width="9" customWidth="1"/>
    <col min="13" max="13" width="18.140625" customWidth="1"/>
    <col min="14" max="14" width="13.85546875" bestFit="1" customWidth="1"/>
    <col min="15" max="15" width="15.42578125" bestFit="1" customWidth="1"/>
    <col min="16" max="16" width="14.42578125" bestFit="1" customWidth="1"/>
    <col min="17" max="17" width="10.5703125" bestFit="1" customWidth="1"/>
    <col min="24" max="24" width="13.85546875" bestFit="1" customWidth="1"/>
    <col min="25" max="25" width="15.42578125" bestFit="1" customWidth="1"/>
    <col min="26" max="26" width="14.42578125" bestFit="1" customWidth="1"/>
    <col min="27" max="27" width="10.5703125" bestFit="1" customWidth="1"/>
  </cols>
  <sheetData>
    <row r="1" spans="1:27" x14ac:dyDescent="0.25">
      <c r="A1" s="14"/>
      <c r="B1" s="14"/>
      <c r="C1" s="14"/>
      <c r="D1" s="14"/>
    </row>
    <row r="2" spans="1:27" ht="15" hidden="1" customHeight="1" x14ac:dyDescent="0.25">
      <c r="A2" s="14"/>
      <c r="B2" s="14"/>
      <c r="C2" s="14"/>
      <c r="D2" s="14"/>
      <c r="G2" s="4">
        <f>IF(E9="","",MOD((VALUE(LEFT(E9,FIND(" ",E9&amp;" ")-1))+IF(ISNUMBER(SEARCH("PM",E9)),12,0))/24,1))</f>
        <v>3.2986111111111126E-2</v>
      </c>
      <c r="H2" s="4">
        <f>IF(F9="","",MOD((VALUE(LEFT(F9,FIND(" ",F9&amp;" ")-1))+IF(ISNUMBER(SEARCH("PM",F9)),12,0))/24,1))</f>
        <v>1.3888888888888874E-2</v>
      </c>
    </row>
    <row r="3" spans="1:27" x14ac:dyDescent="0.25">
      <c r="A3" s="14"/>
      <c r="B3" s="14"/>
      <c r="C3" s="14"/>
      <c r="D3" s="14"/>
    </row>
    <row r="4" spans="1:27" x14ac:dyDescent="0.25">
      <c r="A4" s="14"/>
      <c r="B4" s="14"/>
      <c r="C4" s="14"/>
      <c r="D4" s="14"/>
    </row>
    <row r="5" spans="1:27" x14ac:dyDescent="0.25">
      <c r="A5" s="14"/>
      <c r="B5" s="14"/>
      <c r="C5" s="14"/>
      <c r="D5" s="14"/>
    </row>
    <row r="6" spans="1:27" ht="15.75" thickBot="1" x14ac:dyDescent="0.3">
      <c r="A6" s="14"/>
      <c r="B6" s="14"/>
      <c r="C6" s="14"/>
      <c r="D6" s="14"/>
    </row>
    <row r="7" spans="1:27" ht="33" customHeight="1" thickBot="1" x14ac:dyDescent="0.3">
      <c r="A7" s="15"/>
      <c r="B7" s="15"/>
      <c r="C7" s="15"/>
      <c r="D7" s="15"/>
      <c r="E7" s="16">
        <v>46054</v>
      </c>
      <c r="F7" s="17"/>
      <c r="G7" s="17"/>
      <c r="H7" s="18"/>
      <c r="J7" s="10" t="s">
        <v>0</v>
      </c>
      <c r="K7" s="11" t="s">
        <v>1</v>
      </c>
      <c r="L7" s="12" t="s">
        <v>2</v>
      </c>
      <c r="M7" s="23" t="s">
        <v>3</v>
      </c>
      <c r="N7" s="1" t="s">
        <v>4</v>
      </c>
      <c r="O7" s="2" t="s">
        <v>5</v>
      </c>
      <c r="P7" s="2" t="s">
        <v>6</v>
      </c>
      <c r="Q7" s="3" t="s">
        <v>7</v>
      </c>
      <c r="T7" s="10" t="s">
        <v>0</v>
      </c>
      <c r="U7" s="11" t="s">
        <v>1</v>
      </c>
      <c r="V7" s="12" t="s">
        <v>2</v>
      </c>
      <c r="W7" s="23" t="s">
        <v>3</v>
      </c>
      <c r="X7" s="1" t="s">
        <v>4</v>
      </c>
      <c r="Y7" s="2" t="s">
        <v>5</v>
      </c>
      <c r="Z7" s="2" t="s">
        <v>6</v>
      </c>
      <c r="AA7" s="3" t="s">
        <v>7</v>
      </c>
    </row>
    <row r="8" spans="1:27" ht="33" customHeight="1" thickBot="1" x14ac:dyDescent="0.3">
      <c r="A8" s="10" t="s">
        <v>0</v>
      </c>
      <c r="B8" s="11" t="s">
        <v>1</v>
      </c>
      <c r="C8" s="12" t="s">
        <v>2</v>
      </c>
      <c r="D8" s="13" t="s">
        <v>3</v>
      </c>
      <c r="E8" s="1" t="s">
        <v>4</v>
      </c>
      <c r="F8" s="2" t="s">
        <v>5</v>
      </c>
      <c r="G8" s="2" t="s">
        <v>6</v>
      </c>
      <c r="H8" s="3" t="s">
        <v>7</v>
      </c>
      <c r="J8" s="37">
        <v>2</v>
      </c>
      <c r="K8" s="31"/>
      <c r="L8" s="32"/>
      <c r="M8" s="33">
        <v>10</v>
      </c>
      <c r="N8" s="5"/>
      <c r="O8" s="6"/>
      <c r="P8" s="7" t="str">
        <f>IF(OR(N8="",O8=""),"",IFERROR(ROUND(MOD(O8-N8,1)*24,2),""))</f>
        <v/>
      </c>
      <c r="Q8" s="8" t="str">
        <f>IF(OR(N8="",O8="",P8=""),"",IF(P8&lt;=M8,"No Overtime Today",ROUND(P8-M8,2)))</f>
        <v/>
      </c>
      <c r="T8" s="37">
        <v>3</v>
      </c>
      <c r="U8" s="31"/>
      <c r="V8" s="32"/>
      <c r="W8" s="33">
        <v>10</v>
      </c>
      <c r="X8" s="5"/>
      <c r="Y8" s="6"/>
      <c r="Z8" s="7" t="str">
        <f>IF(OR(X8="",Y8=""),"",IFERROR(ROUND(MOD(Y8-X8,1)*24,2),""))</f>
        <v/>
      </c>
      <c r="AA8" s="8" t="str">
        <f>IF(OR(X8="",Y8="",Z8=""),"",IF(Z8&lt;=W8,"No Overtime Today",ROUND(Z8-W8,2)))</f>
        <v/>
      </c>
    </row>
    <row r="9" spans="1:27" s="9" customFormat="1" ht="24" customHeight="1" thickBot="1" x14ac:dyDescent="0.3">
      <c r="A9" s="37">
        <v>1</v>
      </c>
      <c r="B9" s="31"/>
      <c r="C9" s="32"/>
      <c r="D9" s="33">
        <v>10</v>
      </c>
      <c r="E9" s="5">
        <v>0.79166666666666663</v>
      </c>
      <c r="F9" s="6">
        <v>0.33333333333333331</v>
      </c>
      <c r="G9" s="7">
        <f>IF(OR(E9="",F9=""),"",IFERROR(ROUND(MOD(F9-E9,1)*24,2),""))</f>
        <v>13</v>
      </c>
      <c r="H9" s="8">
        <f>IF(OR(E9="",F9="",G9=""),"",IF(G9&lt;=D9,"No Overtime Today",ROUND(G9-D9,2)))</f>
        <v>3</v>
      </c>
      <c r="J9" s="38"/>
      <c r="K9" s="22" t="s">
        <v>8</v>
      </c>
      <c r="L9" s="22"/>
      <c r="M9" s="34" t="s">
        <v>9</v>
      </c>
      <c r="N9" s="24">
        <v>46055</v>
      </c>
      <c r="O9" s="17"/>
      <c r="P9" s="17"/>
      <c r="Q9" s="18"/>
      <c r="T9" s="38"/>
      <c r="U9" s="22" t="s">
        <v>8</v>
      </c>
      <c r="V9" s="22"/>
      <c r="W9" s="34" t="s">
        <v>9</v>
      </c>
      <c r="X9" s="16">
        <v>46055</v>
      </c>
      <c r="Y9" s="17"/>
      <c r="Z9" s="17"/>
      <c r="AA9" s="18"/>
    </row>
    <row r="10" spans="1:27" ht="24.75" customHeight="1" thickBot="1" x14ac:dyDescent="0.3">
      <c r="A10" s="38"/>
      <c r="B10" s="22" t="s">
        <v>8</v>
      </c>
      <c r="C10" s="41"/>
      <c r="D10" s="43" t="s">
        <v>9</v>
      </c>
      <c r="E10" s="16">
        <v>46055</v>
      </c>
      <c r="F10" s="17"/>
      <c r="G10" s="17"/>
      <c r="H10" s="18"/>
      <c r="J10" s="39"/>
      <c r="K10" s="35">
        <f>SUM($P$7:$P$9655)</f>
        <v>0</v>
      </c>
      <c r="L10" s="35"/>
      <c r="M10" s="36" cm="1">
        <f t="array" ref="M10">SUMPRODUCT(--ISNUMBER($Q$6:$Q$9654),$H$5:$H$9653)</f>
        <v>0</v>
      </c>
      <c r="N10" s="26" t="s">
        <v>4</v>
      </c>
      <c r="O10" s="21" t="s">
        <v>5</v>
      </c>
      <c r="P10" s="2" t="s">
        <v>6</v>
      </c>
      <c r="Q10" s="3" t="s">
        <v>7</v>
      </c>
      <c r="T10" s="39"/>
      <c r="U10" s="35">
        <f>SUM($Z$7:$Z$9655)</f>
        <v>0</v>
      </c>
      <c r="V10" s="35"/>
      <c r="W10" s="36" cm="1">
        <f t="array" ref="W10">SUMPRODUCT(--ISNUMBER($AA$7:$AA$9655),$H$5:$H$9653)</f>
        <v>0</v>
      </c>
      <c r="X10" s="26" t="s">
        <v>4</v>
      </c>
      <c r="Y10" s="21" t="s">
        <v>5</v>
      </c>
      <c r="Z10" s="2" t="s">
        <v>6</v>
      </c>
      <c r="AA10" s="3" t="s">
        <v>7</v>
      </c>
    </row>
    <row r="11" spans="1:27" ht="24.75" customHeight="1" thickBot="1" x14ac:dyDescent="0.3">
      <c r="A11" s="39"/>
      <c r="B11" s="35">
        <f>SUM($G$5:$G$9653)</f>
        <v>13</v>
      </c>
      <c r="C11" s="42"/>
      <c r="D11" s="44" cm="1">
        <f t="array" ref="D11">SUMPRODUCT(--ISNUMBER($H$5:$H$9653),$H$5:$H$9653)</f>
        <v>3</v>
      </c>
      <c r="E11" s="1" t="s">
        <v>4</v>
      </c>
      <c r="F11" s="2" t="s">
        <v>5</v>
      </c>
      <c r="G11" s="2" t="s">
        <v>6</v>
      </c>
      <c r="H11" s="3" t="s">
        <v>7</v>
      </c>
      <c r="K11" s="19"/>
      <c r="L11" s="19"/>
      <c r="M11" s="20"/>
      <c r="N11" s="30"/>
      <c r="O11" s="29"/>
      <c r="P11" s="7" t="str">
        <f t="shared" ref="P11" si="0">IF(OR(N11="",O11=""),"",IFERROR(ROUND(MOD(O11-N11,1)*24,2),""))</f>
        <v/>
      </c>
      <c r="Q11" s="8" t="str">
        <f>IF(OR(N11="",O11="",P11=""),"",IF(P11&lt;=#REF!,"No Overtime Today",ROUND(P11-#REF!,2)))</f>
        <v/>
      </c>
      <c r="U11" s="27"/>
      <c r="V11" s="27"/>
      <c r="W11" s="28"/>
      <c r="X11" s="30"/>
      <c r="Y11" s="29"/>
      <c r="Z11" s="7" t="str">
        <f t="shared" ref="Z11" si="1">IF(OR(X11="",Y11=""),"",IFERROR(ROUND(MOD(Y11-X11,1)*24,2),""))</f>
        <v/>
      </c>
      <c r="AA11" s="8" t="str">
        <f>IF(OR(X11="",Y11="",Z11=""),"",IF(Z11&lt;=#REF!,"No Overtime Today",ROUND(Z11-#REF!,2)))</f>
        <v/>
      </c>
    </row>
    <row r="12" spans="1:27" ht="24.75" customHeight="1" thickBot="1" x14ac:dyDescent="0.3">
      <c r="B12" s="19"/>
      <c r="C12" s="19"/>
      <c r="D12" s="20"/>
      <c r="E12" s="5"/>
      <c r="F12" s="6"/>
      <c r="G12" s="7" t="str">
        <f t="shared" ref="G12" si="2">IF(OR(E12="",F12=""),"",IFERROR(ROUND(MOD(F12-E12,1)*24,2),""))</f>
        <v/>
      </c>
      <c r="H12" s="8" t="str">
        <f>IF(OR(E12="",F12="",G12=""),"",IF(G12&lt;=#REF!,"No Overtime Today",ROUND(G12-#REF!,2)))</f>
        <v/>
      </c>
      <c r="N12" s="25">
        <v>46056</v>
      </c>
      <c r="O12" s="17"/>
      <c r="P12" s="17"/>
      <c r="Q12" s="18"/>
      <c r="X12" s="16">
        <v>46056</v>
      </c>
      <c r="Y12" s="17"/>
      <c r="Z12" s="17"/>
      <c r="AA12" s="18"/>
    </row>
    <row r="13" spans="1:27" ht="24.75" customHeight="1" thickBot="1" x14ac:dyDescent="0.3">
      <c r="B13" s="40"/>
      <c r="C13" s="40"/>
      <c r="D13" s="40"/>
      <c r="E13" s="16">
        <v>46056</v>
      </c>
      <c r="F13" s="17"/>
      <c r="G13" s="17"/>
      <c r="H13" s="18"/>
      <c r="N13" s="1" t="s">
        <v>4</v>
      </c>
      <c r="O13" s="2" t="s">
        <v>5</v>
      </c>
      <c r="P13" s="2" t="s">
        <v>6</v>
      </c>
      <c r="Q13" s="3" t="s">
        <v>7</v>
      </c>
      <c r="X13" s="1" t="s">
        <v>4</v>
      </c>
      <c r="Y13" s="2" t="s">
        <v>5</v>
      </c>
      <c r="Z13" s="2" t="s">
        <v>6</v>
      </c>
      <c r="AA13" s="3" t="s">
        <v>7</v>
      </c>
    </row>
    <row r="14" spans="1:27" ht="24.75" customHeight="1" thickBot="1" x14ac:dyDescent="0.3">
      <c r="E14" s="1" t="s">
        <v>4</v>
      </c>
      <c r="F14" s="2" t="s">
        <v>5</v>
      </c>
      <c r="G14" s="2" t="s">
        <v>6</v>
      </c>
      <c r="H14" s="3" t="s">
        <v>7</v>
      </c>
      <c r="N14" s="5"/>
      <c r="O14" s="6"/>
      <c r="P14" s="7" t="str">
        <f t="shared" ref="P14" si="3">IF(OR(N14="",O14=""),"",IFERROR(ROUND(MOD(O14-N14,1)*24,2),""))</f>
        <v/>
      </c>
      <c r="Q14" s="8" t="str">
        <f t="shared" ref="Q14" si="4">IF(OR(N14="",O14="",P14=""),"",IF(P14&lt;=M14,"No Overtime Today",ROUND(P14-M14,2)))</f>
        <v/>
      </c>
      <c r="X14" s="5"/>
      <c r="Y14" s="6"/>
      <c r="Z14" s="7" t="str">
        <f t="shared" ref="Z14" si="5">IF(OR(X14="",Y14=""),"",IFERROR(ROUND(MOD(Y14-X14,1)*24,2),""))</f>
        <v/>
      </c>
      <c r="AA14" s="8" t="str">
        <f t="shared" ref="AA14" si="6">IF(OR(X14="",Y14="",Z14=""),"",IF(Z14&lt;=W14,"No Overtime Today",ROUND(Z14-W14,2)))</f>
        <v/>
      </c>
    </row>
    <row r="15" spans="1:27" ht="24.75" customHeight="1" thickBot="1" x14ac:dyDescent="0.3">
      <c r="E15" s="5"/>
      <c r="F15" s="6"/>
      <c r="G15" s="7" t="str">
        <f t="shared" ref="G15" si="7">IF(OR(E15="",F15=""),"",IFERROR(ROUND(MOD(F15-E15,1)*24,2),""))</f>
        <v/>
      </c>
      <c r="H15" s="8" t="str">
        <f t="shared" ref="H15" si="8">IF(OR(E15="",F15="",G15=""),"",IF(G15&lt;=D15,"No Overtime Today",ROUND(G15-D15,2)))</f>
        <v/>
      </c>
      <c r="N15" s="16">
        <v>46057</v>
      </c>
      <c r="O15" s="17"/>
      <c r="P15" s="17"/>
      <c r="Q15" s="18"/>
      <c r="X15" s="16">
        <v>46057</v>
      </c>
      <c r="Y15" s="17"/>
      <c r="Z15" s="17"/>
      <c r="AA15" s="18"/>
    </row>
    <row r="16" spans="1:27" ht="24.75" customHeight="1" thickBot="1" x14ac:dyDescent="0.3">
      <c r="E16" s="16">
        <v>46057</v>
      </c>
      <c r="F16" s="17"/>
      <c r="G16" s="17"/>
      <c r="H16" s="18"/>
      <c r="N16" s="1" t="s">
        <v>4</v>
      </c>
      <c r="O16" s="2" t="s">
        <v>5</v>
      </c>
      <c r="P16" s="2" t="s">
        <v>6</v>
      </c>
      <c r="Q16" s="3" t="s">
        <v>7</v>
      </c>
      <c r="X16" s="1" t="s">
        <v>4</v>
      </c>
      <c r="Y16" s="2" t="s">
        <v>5</v>
      </c>
      <c r="Z16" s="2" t="s">
        <v>6</v>
      </c>
      <c r="AA16" s="3" t="s">
        <v>7</v>
      </c>
    </row>
    <row r="17" spans="5:27" ht="24.75" customHeight="1" thickBot="1" x14ac:dyDescent="0.3">
      <c r="E17" s="1" t="s">
        <v>4</v>
      </c>
      <c r="F17" s="2" t="s">
        <v>5</v>
      </c>
      <c r="G17" s="2" t="s">
        <v>6</v>
      </c>
      <c r="H17" s="3" t="s">
        <v>7</v>
      </c>
      <c r="N17" s="5"/>
      <c r="O17" s="6"/>
      <c r="P17" s="7" t="str">
        <f t="shared" ref="P17" si="9">IF(OR(N17="",O17=""),"",IFERROR(ROUND(MOD(O17-N17,1)*24,2),""))</f>
        <v/>
      </c>
      <c r="Q17" s="8" t="str">
        <f t="shared" ref="Q17" si="10">IF(OR(N17="",O17="",P17=""),"",IF(P17&lt;=M17,"No Overtime Today",ROUND(P17-M17,2)))</f>
        <v/>
      </c>
      <c r="X17" s="5"/>
      <c r="Y17" s="6"/>
      <c r="Z17" s="7" t="str">
        <f t="shared" ref="Z17" si="11">IF(OR(X17="",Y17=""),"",IFERROR(ROUND(MOD(Y17-X17,1)*24,2),""))</f>
        <v/>
      </c>
      <c r="AA17" s="8" t="str">
        <f t="shared" ref="AA17" si="12">IF(OR(X17="",Y17="",Z17=""),"",IF(Z17&lt;=W17,"No Overtime Today",ROUND(Z17-W17,2)))</f>
        <v/>
      </c>
    </row>
    <row r="18" spans="5:27" ht="24.75" customHeight="1" thickBot="1" x14ac:dyDescent="0.3">
      <c r="E18" s="5"/>
      <c r="F18" s="6"/>
      <c r="G18" s="7" t="str">
        <f t="shared" ref="G18" si="13">IF(OR(E18="",F18=""),"",IFERROR(ROUND(MOD(F18-E18,1)*24,2),""))</f>
        <v/>
      </c>
      <c r="H18" s="8" t="str">
        <f t="shared" ref="H18" si="14">IF(OR(E18="",F18="",G18=""),"",IF(G18&lt;=D18,"No Overtime Today",ROUND(G18-D18,2)))</f>
        <v/>
      </c>
      <c r="N18" s="16">
        <v>46058</v>
      </c>
      <c r="O18" s="17"/>
      <c r="P18" s="17"/>
      <c r="Q18" s="18"/>
      <c r="X18" s="16">
        <v>46058</v>
      </c>
      <c r="Y18" s="17"/>
      <c r="Z18" s="17"/>
      <c r="AA18" s="18"/>
    </row>
    <row r="19" spans="5:27" ht="24.75" customHeight="1" thickBot="1" x14ac:dyDescent="0.3">
      <c r="E19" s="16">
        <v>46058</v>
      </c>
      <c r="F19" s="17"/>
      <c r="G19" s="17"/>
      <c r="H19" s="18"/>
      <c r="N19" s="1" t="s">
        <v>4</v>
      </c>
      <c r="O19" s="2" t="s">
        <v>5</v>
      </c>
      <c r="P19" s="2" t="s">
        <v>6</v>
      </c>
      <c r="Q19" s="3" t="s">
        <v>7</v>
      </c>
      <c r="X19" s="1" t="s">
        <v>4</v>
      </c>
      <c r="Y19" s="2" t="s">
        <v>5</v>
      </c>
      <c r="Z19" s="2" t="s">
        <v>6</v>
      </c>
      <c r="AA19" s="3" t="s">
        <v>7</v>
      </c>
    </row>
    <row r="20" spans="5:27" ht="24.75" customHeight="1" thickBot="1" x14ac:dyDescent="0.3">
      <c r="E20" s="1" t="s">
        <v>4</v>
      </c>
      <c r="F20" s="2" t="s">
        <v>5</v>
      </c>
      <c r="G20" s="2" t="s">
        <v>6</v>
      </c>
      <c r="H20" s="3" t="s">
        <v>7</v>
      </c>
      <c r="N20" s="5"/>
      <c r="O20" s="6"/>
      <c r="P20" s="7" t="str">
        <f t="shared" ref="P20" si="15">IF(OR(N20="",O20=""),"",IFERROR(ROUND(MOD(O20-N20,1)*24,2),""))</f>
        <v/>
      </c>
      <c r="Q20" s="8" t="str">
        <f t="shared" ref="Q20" si="16">IF(OR(N20="",O20="",P20=""),"",IF(P20&lt;=M20,"No Overtime Today",ROUND(P20-M20,2)))</f>
        <v/>
      </c>
      <c r="X20" s="5"/>
      <c r="Y20" s="6"/>
      <c r="Z20" s="7" t="str">
        <f t="shared" ref="Z20" si="17">IF(OR(X20="",Y20=""),"",IFERROR(ROUND(MOD(Y20-X20,1)*24,2),""))</f>
        <v/>
      </c>
      <c r="AA20" s="8" t="str">
        <f t="shared" ref="AA20" si="18">IF(OR(X20="",Y20="",Z20=""),"",IF(Z20&lt;=W20,"No Overtime Today",ROUND(Z20-W20,2)))</f>
        <v/>
      </c>
    </row>
    <row r="21" spans="5:27" ht="24.75" customHeight="1" thickBot="1" x14ac:dyDescent="0.3">
      <c r="E21" s="5"/>
      <c r="F21" s="6"/>
      <c r="G21" s="7" t="str">
        <f t="shared" ref="G21" si="19">IF(OR(E21="",F21=""),"",IFERROR(ROUND(MOD(F21-E21,1)*24,2),""))</f>
        <v/>
      </c>
      <c r="H21" s="8" t="str">
        <f t="shared" ref="H21" si="20">IF(OR(E21="",F21="",G21=""),"",IF(G21&lt;=D21,"No Overtime Today",ROUND(G21-D21,2)))</f>
        <v/>
      </c>
      <c r="N21" s="16">
        <v>46059</v>
      </c>
      <c r="O21" s="17"/>
      <c r="P21" s="17"/>
      <c r="Q21" s="18"/>
      <c r="X21" s="16">
        <v>46059</v>
      </c>
      <c r="Y21" s="17"/>
      <c r="Z21" s="17"/>
      <c r="AA21" s="18"/>
    </row>
    <row r="22" spans="5:27" ht="24.75" customHeight="1" thickBot="1" x14ac:dyDescent="0.3">
      <c r="E22" s="16">
        <v>46059</v>
      </c>
      <c r="F22" s="17"/>
      <c r="G22" s="17"/>
      <c r="H22" s="18"/>
      <c r="N22" s="1" t="s">
        <v>4</v>
      </c>
      <c r="O22" s="2" t="s">
        <v>5</v>
      </c>
      <c r="P22" s="2" t="s">
        <v>6</v>
      </c>
      <c r="Q22" s="3" t="s">
        <v>7</v>
      </c>
      <c r="X22" s="1" t="s">
        <v>4</v>
      </c>
      <c r="Y22" s="2" t="s">
        <v>5</v>
      </c>
      <c r="Z22" s="2" t="s">
        <v>6</v>
      </c>
      <c r="AA22" s="3" t="s">
        <v>7</v>
      </c>
    </row>
    <row r="23" spans="5:27" ht="24.75" customHeight="1" thickBot="1" x14ac:dyDescent="0.3">
      <c r="E23" s="1" t="s">
        <v>4</v>
      </c>
      <c r="F23" s="2" t="s">
        <v>5</v>
      </c>
      <c r="G23" s="2" t="s">
        <v>6</v>
      </c>
      <c r="H23" s="3" t="s">
        <v>7</v>
      </c>
      <c r="N23" s="5"/>
      <c r="O23" s="6"/>
      <c r="P23" s="7" t="str">
        <f t="shared" ref="P23" si="21">IF(OR(N23="",O23=""),"",IFERROR(ROUND(MOD(O23-N23,1)*24,2),""))</f>
        <v/>
      </c>
      <c r="Q23" s="8" t="str">
        <f t="shared" ref="Q23" si="22">IF(OR(N23="",O23="",P23=""),"",IF(P23&lt;=M23,"No Overtime Today",ROUND(P23-M23,2)))</f>
        <v/>
      </c>
      <c r="X23" s="5"/>
      <c r="Y23" s="6"/>
      <c r="Z23" s="7" t="str">
        <f t="shared" ref="Z23" si="23">IF(OR(X23="",Y23=""),"",IFERROR(ROUND(MOD(Y23-X23,1)*24,2),""))</f>
        <v/>
      </c>
      <c r="AA23" s="8" t="str">
        <f t="shared" ref="AA23" si="24">IF(OR(X23="",Y23="",Z23=""),"",IF(Z23&lt;=W23,"No Overtime Today",ROUND(Z23-W23,2)))</f>
        <v/>
      </c>
    </row>
    <row r="24" spans="5:27" ht="24.75" customHeight="1" thickBot="1" x14ac:dyDescent="0.3">
      <c r="E24" s="5"/>
      <c r="F24" s="6"/>
      <c r="G24" s="7" t="str">
        <f t="shared" ref="G24" si="25">IF(OR(E24="",F24=""),"",IFERROR(ROUND(MOD(F24-E24,1)*24,2),""))</f>
        <v/>
      </c>
      <c r="H24" s="8" t="str">
        <f t="shared" ref="H24" si="26">IF(OR(E24="",F24="",G24=""),"",IF(G24&lt;=D24,"No Overtime Today",ROUND(G24-D24,2)))</f>
        <v/>
      </c>
      <c r="N24" s="16">
        <v>46060</v>
      </c>
      <c r="O24" s="17"/>
      <c r="P24" s="17"/>
      <c r="Q24" s="18"/>
      <c r="X24" s="16">
        <v>46060</v>
      </c>
      <c r="Y24" s="17"/>
      <c r="Z24" s="17"/>
      <c r="AA24" s="18"/>
    </row>
    <row r="25" spans="5:27" ht="24.75" customHeight="1" thickBot="1" x14ac:dyDescent="0.3">
      <c r="E25" s="16">
        <v>46060</v>
      </c>
      <c r="F25" s="17"/>
      <c r="G25" s="17"/>
      <c r="H25" s="18"/>
      <c r="N25" s="1" t="s">
        <v>4</v>
      </c>
      <c r="O25" s="2" t="s">
        <v>5</v>
      </c>
      <c r="P25" s="2" t="s">
        <v>6</v>
      </c>
      <c r="Q25" s="3" t="s">
        <v>7</v>
      </c>
      <c r="X25" s="1" t="s">
        <v>4</v>
      </c>
      <c r="Y25" s="2" t="s">
        <v>5</v>
      </c>
      <c r="Z25" s="2" t="s">
        <v>6</v>
      </c>
      <c r="AA25" s="3" t="s">
        <v>7</v>
      </c>
    </row>
    <row r="26" spans="5:27" ht="24.75" customHeight="1" thickBot="1" x14ac:dyDescent="0.3">
      <c r="E26" s="1" t="s">
        <v>4</v>
      </c>
      <c r="F26" s="2" t="s">
        <v>5</v>
      </c>
      <c r="G26" s="2" t="s">
        <v>6</v>
      </c>
      <c r="H26" s="3" t="s">
        <v>7</v>
      </c>
      <c r="N26" s="5"/>
      <c r="O26" s="6"/>
      <c r="P26" s="7" t="str">
        <f t="shared" ref="P26" si="27">IF(OR(N26="",O26=""),"",IFERROR(ROUND(MOD(O26-N26,1)*24,2),""))</f>
        <v/>
      </c>
      <c r="Q26" s="8" t="str">
        <f t="shared" ref="Q26" si="28">IF(OR(N26="",O26="",P26=""),"",IF(P26&lt;=M26,"No Overtime Today",ROUND(P26-M26,2)))</f>
        <v/>
      </c>
      <c r="X26" s="5"/>
      <c r="Y26" s="6"/>
      <c r="Z26" s="7" t="str">
        <f t="shared" ref="Z26" si="29">IF(OR(X26="",Y26=""),"",IFERROR(ROUND(MOD(Y26-X26,1)*24,2),""))</f>
        <v/>
      </c>
      <c r="AA26" s="8" t="str">
        <f t="shared" ref="AA26" si="30">IF(OR(X26="",Y26="",Z26=""),"",IF(Z26&lt;=W26,"No Overtime Today",ROUND(Z26-W26,2)))</f>
        <v/>
      </c>
    </row>
    <row r="27" spans="5:27" ht="24.75" customHeight="1" thickBot="1" x14ac:dyDescent="0.3">
      <c r="E27" s="5"/>
      <c r="F27" s="6"/>
      <c r="G27" s="7" t="str">
        <f t="shared" ref="G27" si="31">IF(OR(E27="",F27=""),"",IFERROR(ROUND(MOD(F27-E27,1)*24,2),""))</f>
        <v/>
      </c>
      <c r="H27" s="8" t="str">
        <f t="shared" ref="H27" si="32">IF(OR(E27="",F27="",G27=""),"",IF(G27&lt;=D27,"No Overtime Today",ROUND(G27-D27,2)))</f>
        <v/>
      </c>
      <c r="N27" s="16">
        <v>46061</v>
      </c>
      <c r="O27" s="17"/>
      <c r="P27" s="17"/>
      <c r="Q27" s="18"/>
      <c r="X27" s="16">
        <v>46061</v>
      </c>
      <c r="Y27" s="17"/>
      <c r="Z27" s="17"/>
      <c r="AA27" s="18"/>
    </row>
    <row r="28" spans="5:27" ht="24.75" customHeight="1" thickBot="1" x14ac:dyDescent="0.3">
      <c r="E28" s="16">
        <v>46061</v>
      </c>
      <c r="F28" s="17"/>
      <c r="G28" s="17"/>
      <c r="H28" s="18"/>
      <c r="N28" s="1" t="s">
        <v>4</v>
      </c>
      <c r="O28" s="2" t="s">
        <v>5</v>
      </c>
      <c r="P28" s="2" t="s">
        <v>6</v>
      </c>
      <c r="Q28" s="3" t="s">
        <v>7</v>
      </c>
      <c r="X28" s="1" t="s">
        <v>4</v>
      </c>
      <c r="Y28" s="2" t="s">
        <v>5</v>
      </c>
      <c r="Z28" s="2" t="s">
        <v>6</v>
      </c>
      <c r="AA28" s="3" t="s">
        <v>7</v>
      </c>
    </row>
    <row r="29" spans="5:27" ht="24.75" customHeight="1" thickBot="1" x14ac:dyDescent="0.3">
      <c r="E29" s="1" t="s">
        <v>4</v>
      </c>
      <c r="F29" s="2" t="s">
        <v>5</v>
      </c>
      <c r="G29" s="2" t="s">
        <v>6</v>
      </c>
      <c r="H29" s="3" t="s">
        <v>7</v>
      </c>
      <c r="N29" s="5"/>
      <c r="O29" s="6"/>
      <c r="P29" s="7" t="str">
        <f t="shared" ref="P29" si="33">IF(OR(N29="",O29=""),"",IFERROR(ROUND(MOD(O29-N29,1)*24,2),""))</f>
        <v/>
      </c>
      <c r="Q29" s="8" t="str">
        <f t="shared" ref="Q29" si="34">IF(OR(N29="",O29="",P29=""),"",IF(P29&lt;=M29,"No Overtime Today",ROUND(P29-M29,2)))</f>
        <v/>
      </c>
      <c r="X29" s="5"/>
      <c r="Y29" s="6"/>
      <c r="Z29" s="7" t="str">
        <f t="shared" ref="Z29" si="35">IF(OR(X29="",Y29=""),"",IFERROR(ROUND(MOD(Y29-X29,1)*24,2),""))</f>
        <v/>
      </c>
      <c r="AA29" s="8" t="str">
        <f t="shared" ref="AA29" si="36">IF(OR(X29="",Y29="",Z29=""),"",IF(Z29&lt;=W29,"No Overtime Today",ROUND(Z29-W29,2)))</f>
        <v/>
      </c>
    </row>
    <row r="30" spans="5:27" ht="24.75" customHeight="1" thickBot="1" x14ac:dyDescent="0.3">
      <c r="E30" s="5"/>
      <c r="F30" s="6"/>
      <c r="G30" s="7" t="str">
        <f t="shared" ref="G30" si="37">IF(OR(E30="",F30=""),"",IFERROR(ROUND(MOD(F30-E30,1)*24,2),""))</f>
        <v/>
      </c>
      <c r="H30" s="8" t="str">
        <f t="shared" ref="H30" si="38">IF(OR(E30="",F30="",G30=""),"",IF(G30&lt;=D30,"No Overtime Today",ROUND(G30-D30,2)))</f>
        <v/>
      </c>
      <c r="N30" s="16">
        <v>46062</v>
      </c>
      <c r="O30" s="17"/>
      <c r="P30" s="17"/>
      <c r="Q30" s="18"/>
      <c r="X30" s="16">
        <v>46062</v>
      </c>
      <c r="Y30" s="17"/>
      <c r="Z30" s="17"/>
      <c r="AA30" s="18"/>
    </row>
    <row r="31" spans="5:27" ht="24.75" customHeight="1" thickBot="1" x14ac:dyDescent="0.3">
      <c r="E31" s="16">
        <v>46062</v>
      </c>
      <c r="F31" s="17"/>
      <c r="G31" s="17"/>
      <c r="H31" s="18"/>
      <c r="N31" s="1" t="s">
        <v>4</v>
      </c>
      <c r="O31" s="2" t="s">
        <v>5</v>
      </c>
      <c r="P31" s="2" t="s">
        <v>6</v>
      </c>
      <c r="Q31" s="3" t="s">
        <v>7</v>
      </c>
      <c r="X31" s="1" t="s">
        <v>4</v>
      </c>
      <c r="Y31" s="2" t="s">
        <v>5</v>
      </c>
      <c r="Z31" s="2" t="s">
        <v>6</v>
      </c>
      <c r="AA31" s="3" t="s">
        <v>7</v>
      </c>
    </row>
    <row r="32" spans="5:27" ht="24.75" customHeight="1" thickBot="1" x14ac:dyDescent="0.3">
      <c r="E32" s="1" t="s">
        <v>4</v>
      </c>
      <c r="F32" s="2" t="s">
        <v>5</v>
      </c>
      <c r="G32" s="2" t="s">
        <v>6</v>
      </c>
      <c r="H32" s="3" t="s">
        <v>7</v>
      </c>
      <c r="N32" s="5"/>
      <c r="O32" s="6"/>
      <c r="P32" s="7" t="str">
        <f t="shared" ref="P32" si="39">IF(OR(N32="",O32=""),"",IFERROR(ROUND(MOD(O32-N32,1)*24,2),""))</f>
        <v/>
      </c>
      <c r="Q32" s="8" t="str">
        <f t="shared" ref="Q32" si="40">IF(OR(N32="",O32="",P32=""),"",IF(P32&lt;=M32,"No Overtime Today",ROUND(P32-M32,2)))</f>
        <v/>
      </c>
      <c r="X32" s="5"/>
      <c r="Y32" s="6"/>
      <c r="Z32" s="7" t="str">
        <f t="shared" ref="Z32" si="41">IF(OR(X32="",Y32=""),"",IFERROR(ROUND(MOD(Y32-X32,1)*24,2),""))</f>
        <v/>
      </c>
      <c r="AA32" s="8" t="str">
        <f t="shared" ref="AA32" si="42">IF(OR(X32="",Y32="",Z32=""),"",IF(Z32&lt;=W32,"No Overtime Today",ROUND(Z32-W32,2)))</f>
        <v/>
      </c>
    </row>
    <row r="33" spans="5:27" ht="24.75" customHeight="1" thickBot="1" x14ac:dyDescent="0.3">
      <c r="E33" s="5"/>
      <c r="F33" s="6"/>
      <c r="G33" s="7" t="str">
        <f t="shared" ref="G33" si="43">IF(OR(E33="",F33=""),"",IFERROR(ROUND(MOD(F33-E33,1)*24,2),""))</f>
        <v/>
      </c>
      <c r="H33" s="8" t="str">
        <f t="shared" ref="H33" si="44">IF(OR(E33="",F33="",G33=""),"",IF(G33&lt;=D33,"No Overtime Today",ROUND(G33-D33,2)))</f>
        <v/>
      </c>
      <c r="N33" s="16">
        <v>46063</v>
      </c>
      <c r="O33" s="17"/>
      <c r="P33" s="17"/>
      <c r="Q33" s="18"/>
      <c r="X33" s="16">
        <v>46063</v>
      </c>
      <c r="Y33" s="17"/>
      <c r="Z33" s="17"/>
      <c r="AA33" s="18"/>
    </row>
    <row r="34" spans="5:27" ht="24.75" customHeight="1" thickBot="1" x14ac:dyDescent="0.3">
      <c r="E34" s="16">
        <v>46063</v>
      </c>
      <c r="F34" s="17"/>
      <c r="G34" s="17"/>
      <c r="H34" s="18"/>
      <c r="N34" s="1" t="s">
        <v>4</v>
      </c>
      <c r="O34" s="2" t="s">
        <v>5</v>
      </c>
      <c r="P34" s="2" t="s">
        <v>6</v>
      </c>
      <c r="Q34" s="3" t="s">
        <v>7</v>
      </c>
      <c r="X34" s="1" t="s">
        <v>4</v>
      </c>
      <c r="Y34" s="2" t="s">
        <v>5</v>
      </c>
      <c r="Z34" s="2" t="s">
        <v>6</v>
      </c>
      <c r="AA34" s="3" t="s">
        <v>7</v>
      </c>
    </row>
    <row r="35" spans="5:27" ht="24.75" customHeight="1" thickBot="1" x14ac:dyDescent="0.3">
      <c r="E35" s="1" t="s">
        <v>4</v>
      </c>
      <c r="F35" s="2" t="s">
        <v>5</v>
      </c>
      <c r="G35" s="2" t="s">
        <v>6</v>
      </c>
      <c r="H35" s="3" t="s">
        <v>7</v>
      </c>
      <c r="N35" s="5"/>
      <c r="O35" s="6"/>
      <c r="P35" s="7" t="str">
        <f t="shared" ref="P35" si="45">IF(OR(N35="",O35=""),"",IFERROR(ROUND(MOD(O35-N35,1)*24,2),""))</f>
        <v/>
      </c>
      <c r="Q35" s="8" t="str">
        <f t="shared" ref="Q35" si="46">IF(OR(N35="",O35="",P35=""),"",IF(P35&lt;=M35,"No Overtime Today",ROUND(P35-M35,2)))</f>
        <v/>
      </c>
      <c r="X35" s="5"/>
      <c r="Y35" s="6"/>
      <c r="Z35" s="7" t="str">
        <f t="shared" ref="Z35" si="47">IF(OR(X35="",Y35=""),"",IFERROR(ROUND(MOD(Y35-X35,1)*24,2),""))</f>
        <v/>
      </c>
      <c r="AA35" s="8" t="str">
        <f t="shared" ref="AA35" si="48">IF(OR(X35="",Y35="",Z35=""),"",IF(Z35&lt;=W35,"No Overtime Today",ROUND(Z35-W35,2)))</f>
        <v/>
      </c>
    </row>
    <row r="36" spans="5:27" ht="24.75" customHeight="1" thickBot="1" x14ac:dyDescent="0.3">
      <c r="E36" s="5"/>
      <c r="F36" s="6"/>
      <c r="G36" s="7" t="str">
        <f t="shared" ref="G36" si="49">IF(OR(E36="",F36=""),"",IFERROR(ROUND(MOD(F36-E36,1)*24,2),""))</f>
        <v/>
      </c>
      <c r="H36" s="8" t="str">
        <f t="shared" ref="H36" si="50">IF(OR(E36="",F36="",G36=""),"",IF(G36&lt;=D36,"No Overtime Today",ROUND(G36-D36,2)))</f>
        <v/>
      </c>
      <c r="N36" s="16">
        <v>46064</v>
      </c>
      <c r="O36" s="17"/>
      <c r="P36" s="17"/>
      <c r="Q36" s="18"/>
      <c r="X36" s="16">
        <v>46064</v>
      </c>
      <c r="Y36" s="17"/>
      <c r="Z36" s="17"/>
      <c r="AA36" s="18"/>
    </row>
    <row r="37" spans="5:27" ht="24.75" customHeight="1" thickBot="1" x14ac:dyDescent="0.3">
      <c r="E37" s="16">
        <v>46064</v>
      </c>
      <c r="F37" s="17"/>
      <c r="G37" s="17"/>
      <c r="H37" s="18"/>
      <c r="N37" s="1" t="s">
        <v>4</v>
      </c>
      <c r="O37" s="2" t="s">
        <v>5</v>
      </c>
      <c r="P37" s="2" t="s">
        <v>6</v>
      </c>
      <c r="Q37" s="3" t="s">
        <v>7</v>
      </c>
      <c r="X37" s="1" t="s">
        <v>4</v>
      </c>
      <c r="Y37" s="2" t="s">
        <v>5</v>
      </c>
      <c r="Z37" s="2" t="s">
        <v>6</v>
      </c>
      <c r="AA37" s="3" t="s">
        <v>7</v>
      </c>
    </row>
    <row r="38" spans="5:27" ht="24.75" customHeight="1" thickBot="1" x14ac:dyDescent="0.3">
      <c r="E38" s="1" t="s">
        <v>4</v>
      </c>
      <c r="F38" s="2" t="s">
        <v>5</v>
      </c>
      <c r="G38" s="2" t="s">
        <v>6</v>
      </c>
      <c r="H38" s="3" t="s">
        <v>7</v>
      </c>
      <c r="N38" s="5"/>
      <c r="O38" s="6"/>
      <c r="P38" s="7" t="str">
        <f t="shared" ref="P38" si="51">IF(OR(N38="",O38=""),"",IFERROR(ROUND(MOD(O38-N38,1)*24,2),""))</f>
        <v/>
      </c>
      <c r="Q38" s="8" t="str">
        <f t="shared" ref="Q38" si="52">IF(OR(N38="",O38="",P38=""),"",IF(P38&lt;=M38,"No Overtime Today",ROUND(P38-M38,2)))</f>
        <v/>
      </c>
      <c r="X38" s="5"/>
      <c r="Y38" s="6"/>
      <c r="Z38" s="7" t="str">
        <f t="shared" ref="Z38" si="53">IF(OR(X38="",Y38=""),"",IFERROR(ROUND(MOD(Y38-X38,1)*24,2),""))</f>
        <v/>
      </c>
      <c r="AA38" s="8" t="str">
        <f t="shared" ref="AA38" si="54">IF(OR(X38="",Y38="",Z38=""),"",IF(Z38&lt;=W38,"No Overtime Today",ROUND(Z38-W38,2)))</f>
        <v/>
      </c>
    </row>
    <row r="39" spans="5:27" ht="24.75" customHeight="1" thickBot="1" x14ac:dyDescent="0.3">
      <c r="E39" s="5"/>
      <c r="F39" s="6"/>
      <c r="G39" s="7" t="str">
        <f t="shared" ref="G39" si="55">IF(OR(E39="",F39=""),"",IFERROR(ROUND(MOD(F39-E39,1)*24,2),""))</f>
        <v/>
      </c>
      <c r="H39" s="8" t="str">
        <f t="shared" ref="H39" si="56">IF(OR(E39="",F39="",G39=""),"",IF(G39&lt;=D39,"No Overtime Today",ROUND(G39-D39,2)))</f>
        <v/>
      </c>
      <c r="N39" s="16">
        <v>46065</v>
      </c>
      <c r="O39" s="17"/>
      <c r="P39" s="17"/>
      <c r="Q39" s="18"/>
      <c r="X39" s="16">
        <v>46065</v>
      </c>
      <c r="Y39" s="17"/>
      <c r="Z39" s="17"/>
      <c r="AA39" s="18"/>
    </row>
    <row r="40" spans="5:27" ht="24.75" customHeight="1" thickBot="1" x14ac:dyDescent="0.3">
      <c r="E40" s="16">
        <v>46065</v>
      </c>
      <c r="F40" s="17"/>
      <c r="G40" s="17"/>
      <c r="H40" s="18"/>
      <c r="N40" s="1" t="s">
        <v>4</v>
      </c>
      <c r="O40" s="2" t="s">
        <v>5</v>
      </c>
      <c r="P40" s="2" t="s">
        <v>6</v>
      </c>
      <c r="Q40" s="3" t="s">
        <v>7</v>
      </c>
      <c r="X40" s="1" t="s">
        <v>4</v>
      </c>
      <c r="Y40" s="2" t="s">
        <v>5</v>
      </c>
      <c r="Z40" s="2" t="s">
        <v>6</v>
      </c>
      <c r="AA40" s="3" t="s">
        <v>7</v>
      </c>
    </row>
    <row r="41" spans="5:27" ht="24.75" customHeight="1" thickBot="1" x14ac:dyDescent="0.3">
      <c r="E41" s="1" t="s">
        <v>4</v>
      </c>
      <c r="F41" s="2" t="s">
        <v>5</v>
      </c>
      <c r="G41" s="2" t="s">
        <v>6</v>
      </c>
      <c r="H41" s="3" t="s">
        <v>7</v>
      </c>
      <c r="N41" s="5"/>
      <c r="O41" s="6"/>
      <c r="P41" s="7" t="str">
        <f t="shared" ref="P41" si="57">IF(OR(N41="",O41=""),"",IFERROR(ROUND(MOD(O41-N41,1)*24,2),""))</f>
        <v/>
      </c>
      <c r="Q41" s="8" t="str">
        <f t="shared" ref="Q41" si="58">IF(OR(N41="",O41="",P41=""),"",IF(P41&lt;=M41,"No Overtime Today",ROUND(P41-M41,2)))</f>
        <v/>
      </c>
      <c r="X41" s="5"/>
      <c r="Y41" s="6"/>
      <c r="Z41" s="7" t="str">
        <f t="shared" ref="Z41" si="59">IF(OR(X41="",Y41=""),"",IFERROR(ROUND(MOD(Y41-X41,1)*24,2),""))</f>
        <v/>
      </c>
      <c r="AA41" s="8" t="str">
        <f t="shared" ref="AA41" si="60">IF(OR(X41="",Y41="",Z41=""),"",IF(Z41&lt;=W41,"No Overtime Today",ROUND(Z41-W41,2)))</f>
        <v/>
      </c>
    </row>
    <row r="42" spans="5:27" ht="24.75" customHeight="1" thickBot="1" x14ac:dyDescent="0.3">
      <c r="E42" s="5"/>
      <c r="F42" s="6"/>
      <c r="G42" s="7" t="str">
        <f t="shared" ref="G42" si="61">IF(OR(E42="",F42=""),"",IFERROR(ROUND(MOD(F42-E42,1)*24,2),""))</f>
        <v/>
      </c>
      <c r="H42" s="8" t="str">
        <f t="shared" ref="H42" si="62">IF(OR(E42="",F42="",G42=""),"",IF(G42&lt;=D42,"No Overtime Today",ROUND(G42-D42,2)))</f>
        <v/>
      </c>
      <c r="N42" s="16">
        <v>46066</v>
      </c>
      <c r="O42" s="17"/>
      <c r="P42" s="17"/>
      <c r="Q42" s="18"/>
      <c r="X42" s="16">
        <v>46066</v>
      </c>
      <c r="Y42" s="17"/>
      <c r="Z42" s="17"/>
      <c r="AA42" s="18"/>
    </row>
    <row r="43" spans="5:27" ht="24.75" customHeight="1" thickBot="1" x14ac:dyDescent="0.3">
      <c r="E43" s="16">
        <v>46066</v>
      </c>
      <c r="F43" s="17"/>
      <c r="G43" s="17"/>
      <c r="H43" s="18"/>
      <c r="N43" s="1" t="s">
        <v>4</v>
      </c>
      <c r="O43" s="2" t="s">
        <v>5</v>
      </c>
      <c r="P43" s="2" t="s">
        <v>6</v>
      </c>
      <c r="Q43" s="3" t="s">
        <v>7</v>
      </c>
      <c r="X43" s="1" t="s">
        <v>4</v>
      </c>
      <c r="Y43" s="2" t="s">
        <v>5</v>
      </c>
      <c r="Z43" s="2" t="s">
        <v>6</v>
      </c>
      <c r="AA43" s="3" t="s">
        <v>7</v>
      </c>
    </row>
    <row r="44" spans="5:27" ht="24.75" customHeight="1" thickBot="1" x14ac:dyDescent="0.3">
      <c r="E44" s="1" t="s">
        <v>4</v>
      </c>
      <c r="F44" s="2" t="s">
        <v>5</v>
      </c>
      <c r="G44" s="2" t="s">
        <v>6</v>
      </c>
      <c r="H44" s="3" t="s">
        <v>7</v>
      </c>
      <c r="N44" s="5"/>
      <c r="O44" s="6"/>
      <c r="P44" s="7" t="str">
        <f t="shared" ref="P44" si="63">IF(OR(N44="",O44=""),"",IFERROR(ROUND(MOD(O44-N44,1)*24,2),""))</f>
        <v/>
      </c>
      <c r="Q44" s="8" t="str">
        <f t="shared" ref="Q44" si="64">IF(OR(N44="",O44="",P44=""),"",IF(P44&lt;=M44,"No Overtime Today",ROUND(P44-M44,2)))</f>
        <v/>
      </c>
      <c r="X44" s="5"/>
      <c r="Y44" s="6"/>
      <c r="Z44" s="7" t="str">
        <f t="shared" ref="Z44" si="65">IF(OR(X44="",Y44=""),"",IFERROR(ROUND(MOD(Y44-X44,1)*24,2),""))</f>
        <v/>
      </c>
      <c r="AA44" s="8" t="str">
        <f t="shared" ref="AA44" si="66">IF(OR(X44="",Y44="",Z44=""),"",IF(Z44&lt;=W44,"No Overtime Today",ROUND(Z44-W44,2)))</f>
        <v/>
      </c>
    </row>
    <row r="45" spans="5:27" ht="24.75" customHeight="1" thickBot="1" x14ac:dyDescent="0.3">
      <c r="E45" s="5"/>
      <c r="F45" s="6"/>
      <c r="G45" s="7" t="str">
        <f t="shared" ref="G45" si="67">IF(OR(E45="",F45=""),"",IFERROR(ROUND(MOD(F45-E45,1)*24,2),""))</f>
        <v/>
      </c>
      <c r="H45" s="8" t="str">
        <f t="shared" ref="H45" si="68">IF(OR(E45="",F45="",G45=""),"",IF(G45&lt;=D45,"No Overtime Today",ROUND(G45-D45,2)))</f>
        <v/>
      </c>
      <c r="N45" s="16">
        <v>46067</v>
      </c>
      <c r="O45" s="17"/>
      <c r="P45" s="17"/>
      <c r="Q45" s="18"/>
      <c r="X45" s="16">
        <v>46067</v>
      </c>
      <c r="Y45" s="17"/>
      <c r="Z45" s="17"/>
      <c r="AA45" s="18"/>
    </row>
    <row r="46" spans="5:27" ht="24.75" customHeight="1" thickBot="1" x14ac:dyDescent="0.3">
      <c r="E46" s="16">
        <v>46067</v>
      </c>
      <c r="F46" s="17"/>
      <c r="G46" s="17"/>
      <c r="H46" s="18"/>
      <c r="N46" s="1" t="s">
        <v>4</v>
      </c>
      <c r="O46" s="2" t="s">
        <v>5</v>
      </c>
      <c r="P46" s="2" t="s">
        <v>6</v>
      </c>
      <c r="Q46" s="3" t="s">
        <v>7</v>
      </c>
      <c r="X46" s="1" t="s">
        <v>4</v>
      </c>
      <c r="Y46" s="2" t="s">
        <v>5</v>
      </c>
      <c r="Z46" s="2" t="s">
        <v>6</v>
      </c>
      <c r="AA46" s="3" t="s">
        <v>7</v>
      </c>
    </row>
    <row r="47" spans="5:27" ht="24.75" customHeight="1" thickBot="1" x14ac:dyDescent="0.3">
      <c r="E47" s="1" t="s">
        <v>4</v>
      </c>
      <c r="F47" s="2" t="s">
        <v>5</v>
      </c>
      <c r="G47" s="2" t="s">
        <v>6</v>
      </c>
      <c r="H47" s="3" t="s">
        <v>7</v>
      </c>
      <c r="N47" s="5"/>
      <c r="O47" s="6"/>
      <c r="P47" s="7" t="str">
        <f t="shared" ref="P47" si="69">IF(OR(N47="",O47=""),"",IFERROR(ROUND(MOD(O47-N47,1)*24,2),""))</f>
        <v/>
      </c>
      <c r="Q47" s="8" t="str">
        <f t="shared" ref="Q47" si="70">IF(OR(N47="",O47="",P47=""),"",IF(P47&lt;=M47,"No Overtime Today",ROUND(P47-M47,2)))</f>
        <v/>
      </c>
      <c r="X47" s="5"/>
      <c r="Y47" s="6"/>
      <c r="Z47" s="7" t="str">
        <f t="shared" ref="Z47" si="71">IF(OR(X47="",Y47=""),"",IFERROR(ROUND(MOD(Y47-X47,1)*24,2),""))</f>
        <v/>
      </c>
      <c r="AA47" s="8" t="str">
        <f t="shared" ref="AA47" si="72">IF(OR(X47="",Y47="",Z47=""),"",IF(Z47&lt;=W47,"No Overtime Today",ROUND(Z47-W47,2)))</f>
        <v/>
      </c>
    </row>
    <row r="48" spans="5:27" ht="24.75" customHeight="1" thickBot="1" x14ac:dyDescent="0.3">
      <c r="E48" s="5"/>
      <c r="F48" s="6"/>
      <c r="G48" s="7" t="str">
        <f t="shared" ref="G48" si="73">IF(OR(E48="",F48=""),"",IFERROR(ROUND(MOD(F48-E48,1)*24,2),""))</f>
        <v/>
      </c>
      <c r="H48" s="8" t="str">
        <f t="shared" ref="H48" si="74">IF(OR(E48="",F48="",G48=""),"",IF(G48&lt;=D48,"No Overtime Today",ROUND(G48-D48,2)))</f>
        <v/>
      </c>
      <c r="N48" s="16">
        <v>46068</v>
      </c>
      <c r="O48" s="17"/>
      <c r="P48" s="17"/>
      <c r="Q48" s="18"/>
      <c r="X48" s="16">
        <v>46068</v>
      </c>
      <c r="Y48" s="17"/>
      <c r="Z48" s="17"/>
      <c r="AA48" s="18"/>
    </row>
    <row r="49" spans="5:27" ht="24.75" customHeight="1" thickBot="1" x14ac:dyDescent="0.3">
      <c r="E49" s="16">
        <v>46068</v>
      </c>
      <c r="F49" s="17"/>
      <c r="G49" s="17"/>
      <c r="H49" s="18"/>
      <c r="N49" s="1" t="s">
        <v>4</v>
      </c>
      <c r="O49" s="2" t="s">
        <v>5</v>
      </c>
      <c r="P49" s="2" t="s">
        <v>6</v>
      </c>
      <c r="Q49" s="3" t="s">
        <v>7</v>
      </c>
      <c r="X49" s="1" t="s">
        <v>4</v>
      </c>
      <c r="Y49" s="2" t="s">
        <v>5</v>
      </c>
      <c r="Z49" s="2" t="s">
        <v>6</v>
      </c>
      <c r="AA49" s="3" t="s">
        <v>7</v>
      </c>
    </row>
    <row r="50" spans="5:27" ht="24.75" customHeight="1" thickBot="1" x14ac:dyDescent="0.3">
      <c r="E50" s="1" t="s">
        <v>4</v>
      </c>
      <c r="F50" s="2" t="s">
        <v>5</v>
      </c>
      <c r="G50" s="2" t="s">
        <v>6</v>
      </c>
      <c r="H50" s="3" t="s">
        <v>7</v>
      </c>
      <c r="N50" s="5"/>
      <c r="O50" s="6"/>
      <c r="P50" s="7" t="str">
        <f t="shared" ref="P50" si="75">IF(OR(N50="",O50=""),"",IFERROR(ROUND(MOD(O50-N50,1)*24,2),""))</f>
        <v/>
      </c>
      <c r="Q50" s="8" t="str">
        <f t="shared" ref="Q50" si="76">IF(OR(N50="",O50="",P50=""),"",IF(P50&lt;=M50,"No Overtime Today",ROUND(P50-M50,2)))</f>
        <v/>
      </c>
      <c r="X50" s="5"/>
      <c r="Y50" s="6"/>
      <c r="Z50" s="7" t="str">
        <f t="shared" ref="Z50" si="77">IF(OR(X50="",Y50=""),"",IFERROR(ROUND(MOD(Y50-X50,1)*24,2),""))</f>
        <v/>
      </c>
      <c r="AA50" s="8" t="str">
        <f t="shared" ref="AA50" si="78">IF(OR(X50="",Y50="",Z50=""),"",IF(Z50&lt;=W50,"No Overtime Today",ROUND(Z50-W50,2)))</f>
        <v/>
      </c>
    </row>
    <row r="51" spans="5:27" ht="24.75" customHeight="1" thickBot="1" x14ac:dyDescent="0.3">
      <c r="E51" s="5"/>
      <c r="F51" s="6"/>
      <c r="G51" s="7" t="str">
        <f t="shared" ref="G51" si="79">IF(OR(E51="",F51=""),"",IFERROR(ROUND(MOD(F51-E51,1)*24,2),""))</f>
        <v/>
      </c>
      <c r="H51" s="8" t="str">
        <f t="shared" ref="H51" si="80">IF(OR(E51="",F51="",G51=""),"",IF(G51&lt;=D51,"No Overtime Today",ROUND(G51-D51,2)))</f>
        <v/>
      </c>
      <c r="N51" s="16">
        <v>46069</v>
      </c>
      <c r="O51" s="17"/>
      <c r="P51" s="17"/>
      <c r="Q51" s="18"/>
      <c r="X51" s="16">
        <v>46069</v>
      </c>
      <c r="Y51" s="17"/>
      <c r="Z51" s="17"/>
      <c r="AA51" s="18"/>
    </row>
    <row r="52" spans="5:27" ht="24.75" customHeight="1" thickBot="1" x14ac:dyDescent="0.3">
      <c r="E52" s="16">
        <v>46069</v>
      </c>
      <c r="F52" s="17"/>
      <c r="G52" s="17"/>
      <c r="H52" s="18"/>
      <c r="N52" s="1" t="s">
        <v>4</v>
      </c>
      <c r="O52" s="2" t="s">
        <v>5</v>
      </c>
      <c r="P52" s="2" t="s">
        <v>6</v>
      </c>
      <c r="Q52" s="3" t="s">
        <v>7</v>
      </c>
      <c r="X52" s="1" t="s">
        <v>4</v>
      </c>
      <c r="Y52" s="2" t="s">
        <v>5</v>
      </c>
      <c r="Z52" s="2" t="s">
        <v>6</v>
      </c>
      <c r="AA52" s="3" t="s">
        <v>7</v>
      </c>
    </row>
    <row r="53" spans="5:27" ht="24.75" customHeight="1" thickBot="1" x14ac:dyDescent="0.3">
      <c r="E53" s="1" t="s">
        <v>4</v>
      </c>
      <c r="F53" s="2" t="s">
        <v>5</v>
      </c>
      <c r="G53" s="2" t="s">
        <v>6</v>
      </c>
      <c r="H53" s="3" t="s">
        <v>7</v>
      </c>
      <c r="N53" s="5"/>
      <c r="O53" s="6"/>
      <c r="P53" s="7" t="str">
        <f t="shared" ref="P53" si="81">IF(OR(N53="",O53=""),"",IFERROR(ROUND(MOD(O53-N53,1)*24,2),""))</f>
        <v/>
      </c>
      <c r="Q53" s="8" t="str">
        <f t="shared" ref="Q53" si="82">IF(OR(N53="",O53="",P53=""),"",IF(P53&lt;=M53,"No Overtime Today",ROUND(P53-M53,2)))</f>
        <v/>
      </c>
      <c r="X53" s="5"/>
      <c r="Y53" s="6"/>
      <c r="Z53" s="7" t="str">
        <f t="shared" ref="Z53" si="83">IF(OR(X53="",Y53=""),"",IFERROR(ROUND(MOD(Y53-X53,1)*24,2),""))</f>
        <v/>
      </c>
      <c r="AA53" s="8" t="str">
        <f t="shared" ref="AA53" si="84">IF(OR(X53="",Y53="",Z53=""),"",IF(Z53&lt;=W53,"No Overtime Today",ROUND(Z53-W53,2)))</f>
        <v/>
      </c>
    </row>
    <row r="54" spans="5:27" ht="24.75" customHeight="1" thickBot="1" x14ac:dyDescent="0.3">
      <c r="E54" s="5"/>
      <c r="F54" s="6"/>
      <c r="G54" s="7" t="str">
        <f t="shared" ref="G54" si="85">IF(OR(E54="",F54=""),"",IFERROR(ROUND(MOD(F54-E54,1)*24,2),""))</f>
        <v/>
      </c>
      <c r="H54" s="8" t="str">
        <f t="shared" ref="H54" si="86">IF(OR(E54="",F54="",G54=""),"",IF(G54&lt;=D54,"No Overtime Today",ROUND(G54-D54,2)))</f>
        <v/>
      </c>
      <c r="N54" s="16">
        <v>46070</v>
      </c>
      <c r="O54" s="17"/>
      <c r="P54" s="17"/>
      <c r="Q54" s="18"/>
      <c r="X54" s="16">
        <v>46070</v>
      </c>
      <c r="Y54" s="17"/>
      <c r="Z54" s="17"/>
      <c r="AA54" s="18"/>
    </row>
    <row r="55" spans="5:27" ht="24.75" customHeight="1" thickBot="1" x14ac:dyDescent="0.3">
      <c r="E55" s="16">
        <v>46070</v>
      </c>
      <c r="F55" s="17"/>
      <c r="G55" s="17"/>
      <c r="H55" s="18"/>
      <c r="N55" s="1" t="s">
        <v>4</v>
      </c>
      <c r="O55" s="2" t="s">
        <v>5</v>
      </c>
      <c r="P55" s="2" t="s">
        <v>6</v>
      </c>
      <c r="Q55" s="3" t="s">
        <v>7</v>
      </c>
      <c r="X55" s="1" t="s">
        <v>4</v>
      </c>
      <c r="Y55" s="2" t="s">
        <v>5</v>
      </c>
      <c r="Z55" s="2" t="s">
        <v>6</v>
      </c>
      <c r="AA55" s="3" t="s">
        <v>7</v>
      </c>
    </row>
    <row r="56" spans="5:27" ht="24.75" customHeight="1" thickBot="1" x14ac:dyDescent="0.3">
      <c r="E56" s="1" t="s">
        <v>4</v>
      </c>
      <c r="F56" s="2" t="s">
        <v>5</v>
      </c>
      <c r="G56" s="2" t="s">
        <v>6</v>
      </c>
      <c r="H56" s="3" t="s">
        <v>7</v>
      </c>
      <c r="N56" s="5"/>
      <c r="O56" s="6"/>
      <c r="P56" s="7" t="str">
        <f t="shared" ref="P56" si="87">IF(OR(N56="",O56=""),"",IFERROR(ROUND(MOD(O56-N56,1)*24,2),""))</f>
        <v/>
      </c>
      <c r="Q56" s="8" t="str">
        <f t="shared" ref="Q56" si="88">IF(OR(N56="",O56="",P56=""),"",IF(P56&lt;=M56,"No Overtime Today",ROUND(P56-M56,2)))</f>
        <v/>
      </c>
      <c r="X56" s="5"/>
      <c r="Y56" s="6"/>
      <c r="Z56" s="7" t="str">
        <f t="shared" ref="Z56" si="89">IF(OR(X56="",Y56=""),"",IFERROR(ROUND(MOD(Y56-X56,1)*24,2),""))</f>
        <v/>
      </c>
      <c r="AA56" s="8" t="str">
        <f t="shared" ref="AA56" si="90">IF(OR(X56="",Y56="",Z56=""),"",IF(Z56&lt;=W56,"No Overtime Today",ROUND(Z56-W56,2)))</f>
        <v/>
      </c>
    </row>
    <row r="57" spans="5:27" ht="24.75" customHeight="1" thickBot="1" x14ac:dyDescent="0.3">
      <c r="E57" s="5"/>
      <c r="F57" s="6"/>
      <c r="G57" s="7" t="str">
        <f t="shared" ref="G57" si="91">IF(OR(E57="",F57=""),"",IFERROR(ROUND(MOD(F57-E57,1)*24,2),""))</f>
        <v/>
      </c>
      <c r="H57" s="8" t="str">
        <f t="shared" ref="H57" si="92">IF(OR(E57="",F57="",G57=""),"",IF(G57&lt;=D57,"No Overtime Today",ROUND(G57-D57,2)))</f>
        <v/>
      </c>
      <c r="N57" s="16">
        <v>46071</v>
      </c>
      <c r="O57" s="17"/>
      <c r="P57" s="17"/>
      <c r="Q57" s="18"/>
      <c r="X57" s="16">
        <v>46071</v>
      </c>
      <c r="Y57" s="17"/>
      <c r="Z57" s="17"/>
      <c r="AA57" s="18"/>
    </row>
    <row r="58" spans="5:27" ht="24.75" customHeight="1" thickBot="1" x14ac:dyDescent="0.3">
      <c r="E58" s="16">
        <v>46071</v>
      </c>
      <c r="F58" s="17"/>
      <c r="G58" s="17"/>
      <c r="H58" s="18"/>
      <c r="N58" s="1" t="s">
        <v>4</v>
      </c>
      <c r="O58" s="2" t="s">
        <v>5</v>
      </c>
      <c r="P58" s="2" t="s">
        <v>6</v>
      </c>
      <c r="Q58" s="3" t="s">
        <v>7</v>
      </c>
      <c r="X58" s="1" t="s">
        <v>4</v>
      </c>
      <c r="Y58" s="2" t="s">
        <v>5</v>
      </c>
      <c r="Z58" s="2" t="s">
        <v>6</v>
      </c>
      <c r="AA58" s="3" t="s">
        <v>7</v>
      </c>
    </row>
    <row r="59" spans="5:27" ht="24.75" customHeight="1" thickBot="1" x14ac:dyDescent="0.3">
      <c r="E59" s="1" t="s">
        <v>4</v>
      </c>
      <c r="F59" s="2" t="s">
        <v>5</v>
      </c>
      <c r="G59" s="2" t="s">
        <v>6</v>
      </c>
      <c r="H59" s="3" t="s">
        <v>7</v>
      </c>
      <c r="N59" s="5"/>
      <c r="O59" s="6"/>
      <c r="P59" s="7" t="str">
        <f t="shared" ref="P59" si="93">IF(OR(N59="",O59=""),"",IFERROR(ROUND(MOD(O59-N59,1)*24,2),""))</f>
        <v/>
      </c>
      <c r="Q59" s="8" t="str">
        <f t="shared" ref="Q59" si="94">IF(OR(N59="",O59="",P59=""),"",IF(P59&lt;=M59,"No Overtime Today",ROUND(P59-M59,2)))</f>
        <v/>
      </c>
      <c r="X59" s="5"/>
      <c r="Y59" s="6"/>
      <c r="Z59" s="7" t="str">
        <f t="shared" ref="Z59" si="95">IF(OR(X59="",Y59=""),"",IFERROR(ROUND(MOD(Y59-X59,1)*24,2),""))</f>
        <v/>
      </c>
      <c r="AA59" s="8" t="str">
        <f t="shared" ref="AA59" si="96">IF(OR(X59="",Y59="",Z59=""),"",IF(Z59&lt;=W59,"No Overtime Today",ROUND(Z59-W59,2)))</f>
        <v/>
      </c>
    </row>
    <row r="60" spans="5:27" ht="24.75" customHeight="1" thickBot="1" x14ac:dyDescent="0.3">
      <c r="E60" s="5"/>
      <c r="F60" s="6"/>
      <c r="G60" s="7" t="str">
        <f t="shared" ref="G60" si="97">IF(OR(E60="",F60=""),"",IFERROR(ROUND(MOD(F60-E60,1)*24,2),""))</f>
        <v/>
      </c>
      <c r="H60" s="8" t="str">
        <f t="shared" ref="H60" si="98">IF(OR(E60="",F60="",G60=""),"",IF(G60&lt;=D60,"No Overtime Today",ROUND(G60-D60,2)))</f>
        <v/>
      </c>
      <c r="N60" s="16">
        <v>46072</v>
      </c>
      <c r="O60" s="17"/>
      <c r="P60" s="17"/>
      <c r="Q60" s="18"/>
      <c r="X60" s="16">
        <v>46072</v>
      </c>
      <c r="Y60" s="17"/>
      <c r="Z60" s="17"/>
      <c r="AA60" s="18"/>
    </row>
    <row r="61" spans="5:27" ht="24.75" customHeight="1" thickBot="1" x14ac:dyDescent="0.3">
      <c r="E61" s="16">
        <v>46072</v>
      </c>
      <c r="F61" s="17"/>
      <c r="G61" s="17"/>
      <c r="H61" s="18"/>
      <c r="N61" s="1" t="s">
        <v>4</v>
      </c>
      <c r="O61" s="2" t="s">
        <v>5</v>
      </c>
      <c r="P61" s="2" t="s">
        <v>6</v>
      </c>
      <c r="Q61" s="3" t="s">
        <v>7</v>
      </c>
      <c r="X61" s="1" t="s">
        <v>4</v>
      </c>
      <c r="Y61" s="2" t="s">
        <v>5</v>
      </c>
      <c r="Z61" s="2" t="s">
        <v>6</v>
      </c>
      <c r="AA61" s="3" t="s">
        <v>7</v>
      </c>
    </row>
    <row r="62" spans="5:27" ht="24.75" customHeight="1" thickBot="1" x14ac:dyDescent="0.3">
      <c r="E62" s="1" t="s">
        <v>4</v>
      </c>
      <c r="F62" s="2" t="s">
        <v>5</v>
      </c>
      <c r="G62" s="2" t="s">
        <v>6</v>
      </c>
      <c r="H62" s="3" t="s">
        <v>7</v>
      </c>
      <c r="N62" s="5"/>
      <c r="O62" s="6"/>
      <c r="P62" s="7" t="str">
        <f t="shared" ref="P62" si="99">IF(OR(N62="",O62=""),"",IFERROR(ROUND(MOD(O62-N62,1)*24,2),""))</f>
        <v/>
      </c>
      <c r="Q62" s="8" t="str">
        <f t="shared" ref="Q62" si="100">IF(OR(N62="",O62="",P62=""),"",IF(P62&lt;=M62,"No Overtime Today",ROUND(P62-M62,2)))</f>
        <v/>
      </c>
      <c r="X62" s="5"/>
      <c r="Y62" s="6"/>
      <c r="Z62" s="7" t="str">
        <f t="shared" ref="Z62" si="101">IF(OR(X62="",Y62=""),"",IFERROR(ROUND(MOD(Y62-X62,1)*24,2),""))</f>
        <v/>
      </c>
      <c r="AA62" s="8" t="str">
        <f t="shared" ref="AA62" si="102">IF(OR(X62="",Y62="",Z62=""),"",IF(Z62&lt;=W62,"No Overtime Today",ROUND(Z62-W62,2)))</f>
        <v/>
      </c>
    </row>
    <row r="63" spans="5:27" ht="24.75" customHeight="1" thickBot="1" x14ac:dyDescent="0.3">
      <c r="E63" s="5"/>
      <c r="F63" s="6"/>
      <c r="G63" s="7" t="str">
        <f t="shared" ref="G63" si="103">IF(OR(E63="",F63=""),"",IFERROR(ROUND(MOD(F63-E63,1)*24,2),""))</f>
        <v/>
      </c>
      <c r="H63" s="8" t="str">
        <f t="shared" ref="H63" si="104">IF(OR(E63="",F63="",G63=""),"",IF(G63&lt;=D63,"No Overtime Today",ROUND(G63-D63,2)))</f>
        <v/>
      </c>
      <c r="N63" s="16">
        <v>46073</v>
      </c>
      <c r="O63" s="17"/>
      <c r="P63" s="17"/>
      <c r="Q63" s="18"/>
      <c r="X63" s="16">
        <v>46073</v>
      </c>
      <c r="Y63" s="17"/>
      <c r="Z63" s="17"/>
      <c r="AA63" s="18"/>
    </row>
    <row r="64" spans="5:27" ht="24.75" customHeight="1" thickBot="1" x14ac:dyDescent="0.3">
      <c r="E64" s="16">
        <v>46073</v>
      </c>
      <c r="F64" s="17"/>
      <c r="G64" s="17"/>
      <c r="H64" s="18"/>
      <c r="N64" s="1" t="s">
        <v>4</v>
      </c>
      <c r="O64" s="2" t="s">
        <v>5</v>
      </c>
      <c r="P64" s="2" t="s">
        <v>6</v>
      </c>
      <c r="Q64" s="3" t="s">
        <v>7</v>
      </c>
      <c r="X64" s="1" t="s">
        <v>4</v>
      </c>
      <c r="Y64" s="2" t="s">
        <v>5</v>
      </c>
      <c r="Z64" s="2" t="s">
        <v>6</v>
      </c>
      <c r="AA64" s="3" t="s">
        <v>7</v>
      </c>
    </row>
    <row r="65" spans="5:27" ht="24.75" customHeight="1" thickBot="1" x14ac:dyDescent="0.3">
      <c r="E65" s="1" t="s">
        <v>4</v>
      </c>
      <c r="F65" s="2" t="s">
        <v>5</v>
      </c>
      <c r="G65" s="2" t="s">
        <v>6</v>
      </c>
      <c r="H65" s="3" t="s">
        <v>7</v>
      </c>
      <c r="N65" s="5"/>
      <c r="O65" s="6"/>
      <c r="P65" s="7" t="str">
        <f t="shared" ref="P65" si="105">IF(OR(N65="",O65=""),"",IFERROR(ROUND(MOD(O65-N65,1)*24,2),""))</f>
        <v/>
      </c>
      <c r="Q65" s="8" t="str">
        <f t="shared" ref="Q65" si="106">IF(OR(N65="",O65="",P65=""),"",IF(P65&lt;=M65,"No Overtime Today",ROUND(P65-M65,2)))</f>
        <v/>
      </c>
      <c r="X65" s="5"/>
      <c r="Y65" s="6"/>
      <c r="Z65" s="7" t="str">
        <f t="shared" ref="Z65" si="107">IF(OR(X65="",Y65=""),"",IFERROR(ROUND(MOD(Y65-X65,1)*24,2),""))</f>
        <v/>
      </c>
      <c r="AA65" s="8" t="str">
        <f t="shared" ref="AA65" si="108">IF(OR(X65="",Y65="",Z65=""),"",IF(Z65&lt;=W65,"No Overtime Today",ROUND(Z65-W65,2)))</f>
        <v/>
      </c>
    </row>
    <row r="66" spans="5:27" ht="24.75" customHeight="1" thickBot="1" x14ac:dyDescent="0.3">
      <c r="E66" s="5"/>
      <c r="F66" s="6"/>
      <c r="G66" s="7" t="str">
        <f t="shared" ref="G66" si="109">IF(OR(E66="",F66=""),"",IFERROR(ROUND(MOD(F66-E66,1)*24,2),""))</f>
        <v/>
      </c>
      <c r="H66" s="8" t="str">
        <f t="shared" ref="H66" si="110">IF(OR(E66="",F66="",G66=""),"",IF(G66&lt;=D66,"No Overtime Today",ROUND(G66-D66,2)))</f>
        <v/>
      </c>
      <c r="N66" s="16">
        <v>46074</v>
      </c>
      <c r="O66" s="17"/>
      <c r="P66" s="17"/>
      <c r="Q66" s="18"/>
      <c r="X66" s="16">
        <v>46074</v>
      </c>
      <c r="Y66" s="17"/>
      <c r="Z66" s="17"/>
      <c r="AA66" s="18"/>
    </row>
    <row r="67" spans="5:27" ht="24.75" customHeight="1" thickBot="1" x14ac:dyDescent="0.3">
      <c r="E67" s="16">
        <v>46074</v>
      </c>
      <c r="F67" s="17"/>
      <c r="G67" s="17"/>
      <c r="H67" s="18"/>
      <c r="N67" s="1" t="s">
        <v>4</v>
      </c>
      <c r="O67" s="2" t="s">
        <v>5</v>
      </c>
      <c r="P67" s="2" t="s">
        <v>6</v>
      </c>
      <c r="Q67" s="3" t="s">
        <v>7</v>
      </c>
      <c r="X67" s="1" t="s">
        <v>4</v>
      </c>
      <c r="Y67" s="2" t="s">
        <v>5</v>
      </c>
      <c r="Z67" s="2" t="s">
        <v>6</v>
      </c>
      <c r="AA67" s="3" t="s">
        <v>7</v>
      </c>
    </row>
    <row r="68" spans="5:27" ht="24.75" customHeight="1" thickBot="1" x14ac:dyDescent="0.3">
      <c r="E68" s="1" t="s">
        <v>4</v>
      </c>
      <c r="F68" s="2" t="s">
        <v>5</v>
      </c>
      <c r="G68" s="2" t="s">
        <v>6</v>
      </c>
      <c r="H68" s="3" t="s">
        <v>7</v>
      </c>
      <c r="N68" s="5"/>
      <c r="O68" s="6"/>
      <c r="P68" s="7" t="str">
        <f t="shared" ref="P68" si="111">IF(OR(N68="",O68=""),"",IFERROR(ROUND(MOD(O68-N68,1)*24,2),""))</f>
        <v/>
      </c>
      <c r="Q68" s="8" t="str">
        <f t="shared" ref="Q68" si="112">IF(OR(N68="",O68="",P68=""),"",IF(P68&lt;=M68,"No Overtime Today",ROUND(P68-M68,2)))</f>
        <v/>
      </c>
      <c r="X68" s="5"/>
      <c r="Y68" s="6"/>
      <c r="Z68" s="7" t="str">
        <f t="shared" ref="Z68" si="113">IF(OR(X68="",Y68=""),"",IFERROR(ROUND(MOD(Y68-X68,1)*24,2),""))</f>
        <v/>
      </c>
      <c r="AA68" s="8" t="str">
        <f t="shared" ref="AA68" si="114">IF(OR(X68="",Y68="",Z68=""),"",IF(Z68&lt;=W68,"No Overtime Today",ROUND(Z68-W68,2)))</f>
        <v/>
      </c>
    </row>
    <row r="69" spans="5:27" ht="24.75" customHeight="1" thickBot="1" x14ac:dyDescent="0.3">
      <c r="E69" s="5"/>
      <c r="F69" s="6"/>
      <c r="G69" s="7" t="str">
        <f t="shared" ref="G69" si="115">IF(OR(E69="",F69=""),"",IFERROR(ROUND(MOD(F69-E69,1)*24,2),""))</f>
        <v/>
      </c>
      <c r="H69" s="8" t="str">
        <f t="shared" ref="H69" si="116">IF(OR(E69="",F69="",G69=""),"",IF(G69&lt;=D69,"No Overtime Today",ROUND(G69-D69,2)))</f>
        <v/>
      </c>
      <c r="N69" s="16">
        <v>46075</v>
      </c>
      <c r="O69" s="17"/>
      <c r="P69" s="17"/>
      <c r="Q69" s="18"/>
      <c r="X69" s="16">
        <v>46075</v>
      </c>
      <c r="Y69" s="17"/>
      <c r="Z69" s="17"/>
      <c r="AA69" s="18"/>
    </row>
    <row r="70" spans="5:27" ht="24.75" customHeight="1" thickBot="1" x14ac:dyDescent="0.3">
      <c r="E70" s="16">
        <v>46075</v>
      </c>
      <c r="F70" s="17"/>
      <c r="G70" s="17"/>
      <c r="H70" s="18"/>
      <c r="N70" s="1" t="s">
        <v>4</v>
      </c>
      <c r="O70" s="2" t="s">
        <v>5</v>
      </c>
      <c r="P70" s="2" t="s">
        <v>6</v>
      </c>
      <c r="Q70" s="3" t="s">
        <v>7</v>
      </c>
      <c r="X70" s="1" t="s">
        <v>4</v>
      </c>
      <c r="Y70" s="2" t="s">
        <v>5</v>
      </c>
      <c r="Z70" s="2" t="s">
        <v>6</v>
      </c>
      <c r="AA70" s="3" t="s">
        <v>7</v>
      </c>
    </row>
    <row r="71" spans="5:27" ht="24.75" customHeight="1" thickBot="1" x14ac:dyDescent="0.3">
      <c r="E71" s="1" t="s">
        <v>4</v>
      </c>
      <c r="F71" s="2" t="s">
        <v>5</v>
      </c>
      <c r="G71" s="2" t="s">
        <v>6</v>
      </c>
      <c r="H71" s="3" t="s">
        <v>7</v>
      </c>
      <c r="N71" s="5"/>
      <c r="O71" s="6"/>
      <c r="P71" s="7" t="str">
        <f t="shared" ref="P71" si="117">IF(OR(N71="",O71=""),"",IFERROR(ROUND(MOD(O71-N71,1)*24,2),""))</f>
        <v/>
      </c>
      <c r="Q71" s="8" t="str">
        <f t="shared" ref="Q71" si="118">IF(OR(N71="",O71="",P71=""),"",IF(P71&lt;=M71,"No Overtime Today",ROUND(P71-M71,2)))</f>
        <v/>
      </c>
      <c r="X71" s="5"/>
      <c r="Y71" s="6"/>
      <c r="Z71" s="7" t="str">
        <f t="shared" ref="Z71" si="119">IF(OR(X71="",Y71=""),"",IFERROR(ROUND(MOD(Y71-X71,1)*24,2),""))</f>
        <v/>
      </c>
      <c r="AA71" s="8" t="str">
        <f t="shared" ref="AA71" si="120">IF(OR(X71="",Y71="",Z71=""),"",IF(Z71&lt;=W71,"No Overtime Today",ROUND(Z71-W71,2)))</f>
        <v/>
      </c>
    </row>
    <row r="72" spans="5:27" ht="24.75" customHeight="1" thickBot="1" x14ac:dyDescent="0.3">
      <c r="E72" s="5"/>
      <c r="F72" s="6"/>
      <c r="G72" s="7" t="str">
        <f t="shared" ref="G72" si="121">IF(OR(E72="",F72=""),"",IFERROR(ROUND(MOD(F72-E72,1)*24,2),""))</f>
        <v/>
      </c>
      <c r="H72" s="8" t="str">
        <f t="shared" ref="H72" si="122">IF(OR(E72="",F72="",G72=""),"",IF(G72&lt;=D72,"No Overtime Today",ROUND(G72-D72,2)))</f>
        <v/>
      </c>
      <c r="N72" s="16">
        <v>46076</v>
      </c>
      <c r="O72" s="17"/>
      <c r="P72" s="17"/>
      <c r="Q72" s="18"/>
      <c r="X72" s="16">
        <v>46076</v>
      </c>
      <c r="Y72" s="17"/>
      <c r="Z72" s="17"/>
      <c r="AA72" s="18"/>
    </row>
    <row r="73" spans="5:27" ht="24.75" customHeight="1" thickBot="1" x14ac:dyDescent="0.3">
      <c r="E73" s="16">
        <v>46076</v>
      </c>
      <c r="F73" s="17"/>
      <c r="G73" s="17"/>
      <c r="H73" s="18"/>
      <c r="N73" s="1" t="s">
        <v>4</v>
      </c>
      <c r="O73" s="2" t="s">
        <v>5</v>
      </c>
      <c r="P73" s="2" t="s">
        <v>6</v>
      </c>
      <c r="Q73" s="3" t="s">
        <v>7</v>
      </c>
      <c r="X73" s="1" t="s">
        <v>4</v>
      </c>
      <c r="Y73" s="2" t="s">
        <v>5</v>
      </c>
      <c r="Z73" s="2" t="s">
        <v>6</v>
      </c>
      <c r="AA73" s="3" t="s">
        <v>7</v>
      </c>
    </row>
    <row r="74" spans="5:27" ht="24.75" customHeight="1" thickBot="1" x14ac:dyDescent="0.3">
      <c r="E74" s="1" t="s">
        <v>4</v>
      </c>
      <c r="F74" s="2" t="s">
        <v>5</v>
      </c>
      <c r="G74" s="2" t="s">
        <v>6</v>
      </c>
      <c r="H74" s="3" t="s">
        <v>7</v>
      </c>
      <c r="N74" s="5"/>
      <c r="O74" s="6"/>
      <c r="P74" s="7" t="str">
        <f t="shared" ref="P74" si="123">IF(OR(N74="",O74=""),"",IFERROR(ROUND(MOD(O74-N74,1)*24,2),""))</f>
        <v/>
      </c>
      <c r="Q74" s="8" t="str">
        <f t="shared" ref="Q74" si="124">IF(OR(N74="",O74="",P74=""),"",IF(P74&lt;=M74,"No Overtime Today",ROUND(P74-M74,2)))</f>
        <v/>
      </c>
      <c r="X74" s="5"/>
      <c r="Y74" s="6"/>
      <c r="Z74" s="7" t="str">
        <f t="shared" ref="Z74" si="125">IF(OR(X74="",Y74=""),"",IFERROR(ROUND(MOD(Y74-X74,1)*24,2),""))</f>
        <v/>
      </c>
      <c r="AA74" s="8" t="str">
        <f t="shared" ref="AA74" si="126">IF(OR(X74="",Y74="",Z74=""),"",IF(Z74&lt;=W74,"No Overtime Today",ROUND(Z74-W74,2)))</f>
        <v/>
      </c>
    </row>
    <row r="75" spans="5:27" ht="24.75" customHeight="1" thickBot="1" x14ac:dyDescent="0.3">
      <c r="E75" s="5"/>
      <c r="F75" s="6"/>
      <c r="G75" s="7" t="str">
        <f t="shared" ref="G75" si="127">IF(OR(E75="",F75=""),"",IFERROR(ROUND(MOD(F75-E75,1)*24,2),""))</f>
        <v/>
      </c>
      <c r="H75" s="8" t="str">
        <f t="shared" ref="H75" si="128">IF(OR(E75="",F75="",G75=""),"",IF(G75&lt;=D75,"No Overtime Today",ROUND(G75-D75,2)))</f>
        <v/>
      </c>
      <c r="N75" s="16">
        <v>46077</v>
      </c>
      <c r="O75" s="17"/>
      <c r="P75" s="17"/>
      <c r="Q75" s="18"/>
      <c r="X75" s="16">
        <v>46077</v>
      </c>
      <c r="Y75" s="17"/>
      <c r="Z75" s="17"/>
      <c r="AA75" s="18"/>
    </row>
    <row r="76" spans="5:27" ht="24.75" customHeight="1" thickBot="1" x14ac:dyDescent="0.3">
      <c r="E76" s="16">
        <v>46077</v>
      </c>
      <c r="F76" s="17"/>
      <c r="G76" s="17"/>
      <c r="H76" s="18"/>
      <c r="N76" s="1" t="s">
        <v>4</v>
      </c>
      <c r="O76" s="2" t="s">
        <v>5</v>
      </c>
      <c r="P76" s="2" t="s">
        <v>6</v>
      </c>
      <c r="Q76" s="3" t="s">
        <v>7</v>
      </c>
      <c r="X76" s="1" t="s">
        <v>4</v>
      </c>
      <c r="Y76" s="2" t="s">
        <v>5</v>
      </c>
      <c r="Z76" s="2" t="s">
        <v>6</v>
      </c>
      <c r="AA76" s="3" t="s">
        <v>7</v>
      </c>
    </row>
    <row r="77" spans="5:27" ht="24.75" customHeight="1" thickBot="1" x14ac:dyDescent="0.3">
      <c r="E77" s="1" t="s">
        <v>4</v>
      </c>
      <c r="F77" s="2" t="s">
        <v>5</v>
      </c>
      <c r="G77" s="2" t="s">
        <v>6</v>
      </c>
      <c r="H77" s="3" t="s">
        <v>7</v>
      </c>
      <c r="N77" s="5"/>
      <c r="O77" s="6"/>
      <c r="P77" s="7" t="str">
        <f t="shared" ref="P77" si="129">IF(OR(N77="",O77=""),"",IFERROR(ROUND(MOD(O77-N77,1)*24,2),""))</f>
        <v/>
      </c>
      <c r="Q77" s="8" t="str">
        <f t="shared" ref="Q77" si="130">IF(OR(N77="",O77="",P77=""),"",IF(P77&lt;=M77,"No Overtime Today",ROUND(P77-M77,2)))</f>
        <v/>
      </c>
      <c r="X77" s="5"/>
      <c r="Y77" s="6"/>
      <c r="Z77" s="7" t="str">
        <f t="shared" ref="Z77" si="131">IF(OR(X77="",Y77=""),"",IFERROR(ROUND(MOD(Y77-X77,1)*24,2),""))</f>
        <v/>
      </c>
      <c r="AA77" s="8" t="str">
        <f t="shared" ref="AA77" si="132">IF(OR(X77="",Y77="",Z77=""),"",IF(Z77&lt;=W77,"No Overtime Today",ROUND(Z77-W77,2)))</f>
        <v/>
      </c>
    </row>
    <row r="78" spans="5:27" ht="24.75" customHeight="1" thickBot="1" x14ac:dyDescent="0.3">
      <c r="E78" s="5"/>
      <c r="F78" s="6"/>
      <c r="G78" s="7" t="str">
        <f t="shared" ref="G78" si="133">IF(OR(E78="",F78=""),"",IFERROR(ROUND(MOD(F78-E78,1)*24,2),""))</f>
        <v/>
      </c>
      <c r="H78" s="8" t="str">
        <f t="shared" ref="H78" si="134">IF(OR(E78="",F78="",G78=""),"",IF(G78&lt;=D78,"No Overtime Today",ROUND(G78-D78,2)))</f>
        <v/>
      </c>
      <c r="N78" s="16">
        <v>46078</v>
      </c>
      <c r="O78" s="17"/>
      <c r="P78" s="17"/>
      <c r="Q78" s="18"/>
      <c r="X78" s="16">
        <v>46078</v>
      </c>
      <c r="Y78" s="17"/>
      <c r="Z78" s="17"/>
      <c r="AA78" s="18"/>
    </row>
    <row r="79" spans="5:27" ht="24.75" customHeight="1" thickBot="1" x14ac:dyDescent="0.3">
      <c r="E79" s="16">
        <v>46078</v>
      </c>
      <c r="F79" s="17"/>
      <c r="G79" s="17"/>
      <c r="H79" s="18"/>
      <c r="N79" s="1" t="s">
        <v>4</v>
      </c>
      <c r="O79" s="2" t="s">
        <v>5</v>
      </c>
      <c r="P79" s="2" t="s">
        <v>6</v>
      </c>
      <c r="Q79" s="3" t="s">
        <v>7</v>
      </c>
      <c r="X79" s="1" t="s">
        <v>4</v>
      </c>
      <c r="Y79" s="2" t="s">
        <v>5</v>
      </c>
      <c r="Z79" s="2" t="s">
        <v>6</v>
      </c>
      <c r="AA79" s="3" t="s">
        <v>7</v>
      </c>
    </row>
    <row r="80" spans="5:27" ht="24.75" customHeight="1" thickBot="1" x14ac:dyDescent="0.3">
      <c r="E80" s="1" t="s">
        <v>4</v>
      </c>
      <c r="F80" s="2" t="s">
        <v>5</v>
      </c>
      <c r="G80" s="2" t="s">
        <v>6</v>
      </c>
      <c r="H80" s="3" t="s">
        <v>7</v>
      </c>
      <c r="N80" s="5"/>
      <c r="O80" s="6"/>
      <c r="P80" s="7" t="str">
        <f t="shared" ref="P80" si="135">IF(OR(N80="",O80=""),"",IFERROR(ROUND(MOD(O80-N80,1)*24,2),""))</f>
        <v/>
      </c>
      <c r="Q80" s="8" t="str">
        <f t="shared" ref="Q80" si="136">IF(OR(N80="",O80="",P80=""),"",IF(P80&lt;=M80,"No Overtime Today",ROUND(P80-M80,2)))</f>
        <v/>
      </c>
      <c r="X80" s="5"/>
      <c r="Y80" s="6"/>
      <c r="Z80" s="7" t="str">
        <f t="shared" ref="Z80" si="137">IF(OR(X80="",Y80=""),"",IFERROR(ROUND(MOD(Y80-X80,1)*24,2),""))</f>
        <v/>
      </c>
      <c r="AA80" s="8" t="str">
        <f t="shared" ref="AA80" si="138">IF(OR(X80="",Y80="",Z80=""),"",IF(Z80&lt;=W80,"No Overtime Today",ROUND(Z80-W80,2)))</f>
        <v/>
      </c>
    </row>
    <row r="81" spans="5:27" ht="24.75" customHeight="1" thickBot="1" x14ac:dyDescent="0.3">
      <c r="E81" s="5"/>
      <c r="F81" s="6"/>
      <c r="G81" s="7" t="str">
        <f t="shared" ref="G81" si="139">IF(OR(E81="",F81=""),"",IFERROR(ROUND(MOD(F81-E81,1)*24,2),""))</f>
        <v/>
      </c>
      <c r="H81" s="8" t="str">
        <f t="shared" ref="H81" si="140">IF(OR(E81="",F81="",G81=""),"",IF(G81&lt;=D81,"No Overtime Today",ROUND(G81-D81,2)))</f>
        <v/>
      </c>
      <c r="N81" s="16">
        <v>46079</v>
      </c>
      <c r="O81" s="17"/>
      <c r="P81" s="17"/>
      <c r="Q81" s="18"/>
      <c r="X81" s="16">
        <v>46079</v>
      </c>
      <c r="Y81" s="17"/>
      <c r="Z81" s="17"/>
      <c r="AA81" s="18"/>
    </row>
    <row r="82" spans="5:27" ht="24.75" customHeight="1" thickBot="1" x14ac:dyDescent="0.3">
      <c r="E82" s="16">
        <v>46079</v>
      </c>
      <c r="F82" s="17"/>
      <c r="G82" s="17"/>
      <c r="H82" s="18"/>
      <c r="N82" s="1" t="s">
        <v>4</v>
      </c>
      <c r="O82" s="2" t="s">
        <v>5</v>
      </c>
      <c r="P82" s="2" t="s">
        <v>6</v>
      </c>
      <c r="Q82" s="3" t="s">
        <v>7</v>
      </c>
      <c r="X82" s="1" t="s">
        <v>4</v>
      </c>
      <c r="Y82" s="2" t="s">
        <v>5</v>
      </c>
      <c r="Z82" s="2" t="s">
        <v>6</v>
      </c>
      <c r="AA82" s="3" t="s">
        <v>7</v>
      </c>
    </row>
    <row r="83" spans="5:27" ht="24.75" customHeight="1" thickBot="1" x14ac:dyDescent="0.3">
      <c r="E83" s="1" t="s">
        <v>4</v>
      </c>
      <c r="F83" s="2" t="s">
        <v>5</v>
      </c>
      <c r="G83" s="2" t="s">
        <v>6</v>
      </c>
      <c r="H83" s="3" t="s">
        <v>7</v>
      </c>
      <c r="N83" s="5"/>
      <c r="O83" s="6"/>
      <c r="P83" s="7" t="str">
        <f t="shared" ref="P83" si="141">IF(OR(N83="",O83=""),"",IFERROR(ROUND(MOD(O83-N83,1)*24,2),""))</f>
        <v/>
      </c>
      <c r="Q83" s="8" t="str">
        <f t="shared" ref="Q83" si="142">IF(OR(N83="",O83="",P83=""),"",IF(P83&lt;=M83,"No Overtime Today",ROUND(P83-M83,2)))</f>
        <v/>
      </c>
      <c r="X83" s="5"/>
      <c r="Y83" s="6"/>
      <c r="Z83" s="7" t="str">
        <f t="shared" ref="Z83" si="143">IF(OR(X83="",Y83=""),"",IFERROR(ROUND(MOD(Y83-X83,1)*24,2),""))</f>
        <v/>
      </c>
      <c r="AA83" s="8" t="str">
        <f t="shared" ref="AA83" si="144">IF(OR(X83="",Y83="",Z83=""),"",IF(Z83&lt;=W83,"No Overtime Today",ROUND(Z83-W83,2)))</f>
        <v/>
      </c>
    </row>
    <row r="84" spans="5:27" ht="24.75" customHeight="1" thickBot="1" x14ac:dyDescent="0.3">
      <c r="E84" s="5"/>
      <c r="F84" s="6"/>
      <c r="G84" s="7" t="str">
        <f t="shared" ref="G84" si="145">IF(OR(E84="",F84=""),"",IFERROR(ROUND(MOD(F84-E84,1)*24,2),""))</f>
        <v/>
      </c>
      <c r="H84" s="8" t="str">
        <f t="shared" ref="H84" si="146">IF(OR(E84="",F84="",G84=""),"",IF(G84&lt;=D84,"No Overtime Today",ROUND(G84-D84,2)))</f>
        <v/>
      </c>
      <c r="N84" s="16">
        <v>46080</v>
      </c>
      <c r="O84" s="17"/>
      <c r="P84" s="17"/>
      <c r="Q84" s="18"/>
      <c r="X84" s="16">
        <v>46080</v>
      </c>
      <c r="Y84" s="17"/>
      <c r="Z84" s="17"/>
      <c r="AA84" s="18"/>
    </row>
    <row r="85" spans="5:27" ht="24.75" customHeight="1" thickBot="1" x14ac:dyDescent="0.3">
      <c r="E85" s="16">
        <v>46080</v>
      </c>
      <c r="F85" s="17"/>
      <c r="G85" s="17"/>
      <c r="H85" s="18"/>
      <c r="N85" s="1" t="s">
        <v>4</v>
      </c>
      <c r="O85" s="2" t="s">
        <v>5</v>
      </c>
      <c r="P85" s="2" t="s">
        <v>6</v>
      </c>
      <c r="Q85" s="3" t="s">
        <v>7</v>
      </c>
      <c r="X85" s="1" t="s">
        <v>4</v>
      </c>
      <c r="Y85" s="2" t="s">
        <v>5</v>
      </c>
      <c r="Z85" s="2" t="s">
        <v>6</v>
      </c>
      <c r="AA85" s="3" t="s">
        <v>7</v>
      </c>
    </row>
    <row r="86" spans="5:27" ht="24.75" customHeight="1" thickBot="1" x14ac:dyDescent="0.3">
      <c r="E86" s="1" t="s">
        <v>4</v>
      </c>
      <c r="F86" s="2" t="s">
        <v>5</v>
      </c>
      <c r="G86" s="2" t="s">
        <v>6</v>
      </c>
      <c r="H86" s="3" t="s">
        <v>7</v>
      </c>
      <c r="N86" s="5"/>
      <c r="O86" s="6"/>
      <c r="P86" s="7" t="str">
        <f t="shared" ref="P86" si="147">IF(OR(N86="",O86=""),"",IFERROR(ROUND(MOD(O86-N86,1)*24,2),""))</f>
        <v/>
      </c>
      <c r="Q86" s="8" t="str">
        <f t="shared" ref="Q86" si="148">IF(OR(N86="",O86="",P86=""),"",IF(P86&lt;=M86,"No Overtime Today",ROUND(P86-M86,2)))</f>
        <v/>
      </c>
      <c r="X86" s="5"/>
      <c r="Y86" s="6"/>
      <c r="Z86" s="7" t="str">
        <f t="shared" ref="Z86" si="149">IF(OR(X86="",Y86=""),"",IFERROR(ROUND(MOD(Y86-X86,1)*24,2),""))</f>
        <v/>
      </c>
      <c r="AA86" s="8" t="str">
        <f t="shared" ref="AA86" si="150">IF(OR(X86="",Y86="",Z86=""),"",IF(Z86&lt;=W86,"No Overtime Today",ROUND(Z86-W86,2)))</f>
        <v/>
      </c>
    </row>
    <row r="87" spans="5:27" ht="24.75" customHeight="1" thickBot="1" x14ac:dyDescent="0.3">
      <c r="E87" s="5"/>
      <c r="F87" s="6"/>
      <c r="G87" s="7" t="str">
        <f t="shared" ref="G87" si="151">IF(OR(E87="",F87=""),"",IFERROR(ROUND(MOD(F87-E87,1)*24,2),""))</f>
        <v/>
      </c>
      <c r="H87" s="8" t="str">
        <f t="shared" ref="H87" si="152">IF(OR(E87="",F87="",G87=""),"",IF(G87&lt;=D87,"No Overtime Today",ROUND(G87-D87,2)))</f>
        <v/>
      </c>
      <c r="N87" s="16">
        <v>46081</v>
      </c>
      <c r="O87" s="17"/>
      <c r="P87" s="17"/>
      <c r="Q87" s="18"/>
      <c r="X87" s="16">
        <v>46081</v>
      </c>
      <c r="Y87" s="17"/>
      <c r="Z87" s="17"/>
      <c r="AA87" s="18"/>
    </row>
    <row r="88" spans="5:27" ht="24.75" customHeight="1" thickBot="1" x14ac:dyDescent="0.3">
      <c r="E88" s="16">
        <v>46081</v>
      </c>
      <c r="F88" s="17"/>
      <c r="G88" s="17"/>
      <c r="H88" s="18"/>
      <c r="N88" s="1" t="s">
        <v>4</v>
      </c>
      <c r="O88" s="2" t="s">
        <v>5</v>
      </c>
      <c r="P88" s="2" t="s">
        <v>6</v>
      </c>
      <c r="Q88" s="3" t="s">
        <v>7</v>
      </c>
      <c r="X88" s="1" t="s">
        <v>4</v>
      </c>
      <c r="Y88" s="2" t="s">
        <v>5</v>
      </c>
      <c r="Z88" s="2" t="s">
        <v>6</v>
      </c>
      <c r="AA88" s="3" t="s">
        <v>7</v>
      </c>
    </row>
    <row r="89" spans="5:27" ht="24.75" customHeight="1" thickBot="1" x14ac:dyDescent="0.3">
      <c r="E89" s="1" t="s">
        <v>4</v>
      </c>
      <c r="F89" s="2" t="s">
        <v>5</v>
      </c>
      <c r="G89" s="2" t="s">
        <v>6</v>
      </c>
      <c r="H89" s="3" t="s">
        <v>7</v>
      </c>
      <c r="N89" s="5"/>
      <c r="O89" s="6"/>
      <c r="P89" s="7" t="str">
        <f t="shared" ref="P89" si="153">IF(OR(N89="",O89=""),"",IFERROR(ROUND(MOD(O89-N89,1)*24,2),""))</f>
        <v/>
      </c>
      <c r="Q89" s="8" t="str">
        <f t="shared" ref="Q89" si="154">IF(OR(N89="",O89="",P89=""),"",IF(P89&lt;=M89,"No Overtime Today",ROUND(P89-M89,2)))</f>
        <v/>
      </c>
      <c r="X89" s="5"/>
      <c r="Y89" s="6"/>
      <c r="Z89" s="7" t="str">
        <f t="shared" ref="Z89" si="155">IF(OR(X89="",Y89=""),"",IFERROR(ROUND(MOD(Y89-X89,1)*24,2),""))</f>
        <v/>
      </c>
      <c r="AA89" s="8" t="str">
        <f t="shared" ref="AA89" si="156">IF(OR(X89="",Y89="",Z89=""),"",IF(Z89&lt;=W89,"No Overtime Today",ROUND(Z89-W89,2)))</f>
        <v/>
      </c>
    </row>
    <row r="90" spans="5:27" ht="24.75" customHeight="1" thickBot="1" x14ac:dyDescent="0.3">
      <c r="E90" s="5"/>
      <c r="F90" s="6"/>
      <c r="G90" s="7" t="str">
        <f t="shared" ref="G90" si="157">IF(OR(E90="",F90=""),"",IFERROR(ROUND(MOD(F90-E90,1)*24,2),""))</f>
        <v/>
      </c>
      <c r="H90" s="8" t="str">
        <f t="shared" ref="H90" si="158">IF(OR(E90="",F90="",G90=""),"",IF(G90&lt;=D90,"No Overtime Today",ROUND(G90-D90,2)))</f>
        <v/>
      </c>
    </row>
  </sheetData>
  <mergeCells count="95">
    <mergeCell ref="T8:T10"/>
    <mergeCell ref="A9:A11"/>
    <mergeCell ref="X75:AA75"/>
    <mergeCell ref="X78:AA78"/>
    <mergeCell ref="X81:AA81"/>
    <mergeCell ref="X84:AA84"/>
    <mergeCell ref="X87:AA87"/>
    <mergeCell ref="X60:AA60"/>
    <mergeCell ref="X63:AA63"/>
    <mergeCell ref="X66:AA66"/>
    <mergeCell ref="X69:AA69"/>
    <mergeCell ref="X72:AA72"/>
    <mergeCell ref="X45:AA45"/>
    <mergeCell ref="X48:AA48"/>
    <mergeCell ref="X51:AA51"/>
    <mergeCell ref="X54:AA54"/>
    <mergeCell ref="X57:AA57"/>
    <mergeCell ref="X30:AA30"/>
    <mergeCell ref="X33:AA33"/>
    <mergeCell ref="X36:AA36"/>
    <mergeCell ref="X39:AA39"/>
    <mergeCell ref="X42:AA42"/>
    <mergeCell ref="X15:AA15"/>
    <mergeCell ref="X18:AA18"/>
    <mergeCell ref="X21:AA21"/>
    <mergeCell ref="X24:AA24"/>
    <mergeCell ref="X27:AA27"/>
    <mergeCell ref="N75:Q75"/>
    <mergeCell ref="N78:Q78"/>
    <mergeCell ref="N81:Q81"/>
    <mergeCell ref="N84:Q84"/>
    <mergeCell ref="N87:Q87"/>
    <mergeCell ref="N60:Q60"/>
    <mergeCell ref="N63:Q63"/>
    <mergeCell ref="N66:Q66"/>
    <mergeCell ref="N69:Q69"/>
    <mergeCell ref="N72:Q72"/>
    <mergeCell ref="N45:Q45"/>
    <mergeCell ref="N48:Q48"/>
    <mergeCell ref="N51:Q51"/>
    <mergeCell ref="N54:Q54"/>
    <mergeCell ref="N57:Q57"/>
    <mergeCell ref="N30:Q30"/>
    <mergeCell ref="N33:Q33"/>
    <mergeCell ref="N36:Q36"/>
    <mergeCell ref="N39:Q39"/>
    <mergeCell ref="N42:Q42"/>
    <mergeCell ref="N15:Q15"/>
    <mergeCell ref="N18:Q18"/>
    <mergeCell ref="N21:Q21"/>
    <mergeCell ref="N24:Q24"/>
    <mergeCell ref="N27:Q27"/>
    <mergeCell ref="B10:C10"/>
    <mergeCell ref="B11:C11"/>
    <mergeCell ref="B12:C12"/>
    <mergeCell ref="E76:H76"/>
    <mergeCell ref="E79:H79"/>
    <mergeCell ref="E82:H82"/>
    <mergeCell ref="E85:H85"/>
    <mergeCell ref="E88:H88"/>
    <mergeCell ref="E61:H61"/>
    <mergeCell ref="E64:H64"/>
    <mergeCell ref="E67:H67"/>
    <mergeCell ref="E70:H70"/>
    <mergeCell ref="E73:H73"/>
    <mergeCell ref="E46:H46"/>
    <mergeCell ref="E49:H49"/>
    <mergeCell ref="E52:H52"/>
    <mergeCell ref="E55:H55"/>
    <mergeCell ref="E58:H58"/>
    <mergeCell ref="E31:H31"/>
    <mergeCell ref="E34:H34"/>
    <mergeCell ref="E37:H37"/>
    <mergeCell ref="E40:H40"/>
    <mergeCell ref="E43:H43"/>
    <mergeCell ref="E16:H16"/>
    <mergeCell ref="E19:H19"/>
    <mergeCell ref="E22:H22"/>
    <mergeCell ref="E25:H25"/>
    <mergeCell ref="E28:H28"/>
    <mergeCell ref="E7:H7"/>
    <mergeCell ref="E10:H10"/>
    <mergeCell ref="E13:H13"/>
    <mergeCell ref="K9:L9"/>
    <mergeCell ref="N9:Q9"/>
    <mergeCell ref="K10:L10"/>
    <mergeCell ref="K11:L11"/>
    <mergeCell ref="N12:Q12"/>
    <mergeCell ref="U9:V9"/>
    <mergeCell ref="X9:AA9"/>
    <mergeCell ref="U10:V10"/>
    <mergeCell ref="U11:V11"/>
    <mergeCell ref="X12:AA12"/>
    <mergeCell ref="J8:J10"/>
    <mergeCell ref="A1:D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fastep arabia</dc:creator>
  <cp:lastModifiedBy>fastep arabia</cp:lastModifiedBy>
  <dcterms:created xsi:type="dcterms:W3CDTF">2026-02-11T11:57:45Z</dcterms:created>
  <dcterms:modified xsi:type="dcterms:W3CDTF">2026-02-11T14:32:29Z</dcterms:modified>
</cp:coreProperties>
</file>